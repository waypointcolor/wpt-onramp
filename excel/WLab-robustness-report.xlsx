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pectra" sheetId="2" state="visible" r:id="rId2"/>
    <sheet name="Weights" sheetId="3" state="visible" r:id="rId3"/>
    <sheet name="Custom lights" sheetId="4" state="visible" r:id="rId4"/>
    <sheet name="Base" sheetId="5" state="visible" r:id="rId5"/>
    <sheet name="Tables" sheetId="6" state="visible" r:id="rId6"/>
    <sheet name="Interp" sheetId="7" state="visible" r:id="rId7"/>
    <sheet name="Custom1" sheetId="8" state="visible" r:id="rId8"/>
    <sheet name="Custom2" sheetId="9" state="visible" r:id="rId9"/>
    <sheet name="Matrices" sheetId="10" state="visible" r:id="rId10"/>
    <sheet name="Cal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00FFF6D5"/>
      </patternFill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1" fillId="3" borderId="0" pivotButton="0" quotePrefix="0" xfId="0"/>
    <xf numFmtId="2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" t="inlineStr">
        <is>
          <t>WLab robustness report</t>
        </is>
      </c>
    </row>
    <row r="2">
      <c r="A2" t="inlineStr">
        <is>
          <t>Pick up to six observing conditions (yellow). The first is the viewing booth: DeltaE00 is shown for it.</t>
        </is>
      </c>
    </row>
    <row r="3">
      <c r="A3" t="inlineStr">
        <is>
          <t>Values are DeltaE(WLab) between each sample and the standard. They are similar in size to DeltaE00 values; no tolerances are built in, so let experience with your own products set the limits.</t>
        </is>
      </c>
    </row>
    <row r="5">
      <c r="A5" s="2" t="inlineStr">
        <is>
          <t>Conditions</t>
        </is>
      </c>
    </row>
    <row r="6">
      <c r="C6" s="3" t="inlineStr">
        <is>
          <t>CIE 1931 2deg D50</t>
        </is>
      </c>
      <c r="D6" s="3" t="inlineStr">
        <is>
          <t>CIE 1931 2deg D65</t>
        </is>
      </c>
      <c r="E6" s="3" t="inlineStr">
        <is>
          <t>CIE 1931 2deg A</t>
        </is>
      </c>
      <c r="F6" s="3" t="inlineStr">
        <is>
          <t>CIE 1931 2deg F2</t>
        </is>
      </c>
      <c r="G6" s="3" t="inlineStr">
        <is>
          <t>CIE 1931 2deg F11</t>
        </is>
      </c>
      <c r="H6" s="3" t="inlineStr">
        <is>
          <t>CIE 1964 10deg D50</t>
        </is>
      </c>
    </row>
    <row r="7">
      <c r="L7" s="4" t="inlineStr">
        <is>
          <t>DeltaE00 working columns (no need to read them)</t>
        </is>
      </c>
    </row>
    <row r="8">
      <c r="A8" s="5" t="inlineStr">
        <is>
          <t>Sample</t>
        </is>
      </c>
      <c r="B8" s="5" t="inlineStr">
        <is>
          <t>ΔE00 booth</t>
        </is>
      </c>
      <c r="C8" s="5">
        <f>IF(C$6="","","ΔE(WLab) "&amp;C$6)</f>
        <v/>
      </c>
      <c r="D8" s="5">
        <f>IF(D$6="","","ΔE(WLab) "&amp;D$6)</f>
        <v/>
      </c>
      <c r="E8" s="5">
        <f>IF(E$6="","","ΔE(WLab) "&amp;E$6)</f>
        <v/>
      </c>
      <c r="F8" s="5">
        <f>IF(F$6="","","ΔE(WLab) "&amp;F$6)</f>
        <v/>
      </c>
      <c r="G8" s="5">
        <f>IF(G$6="","","ΔE(WLab) "&amp;G$6)</f>
        <v/>
      </c>
      <c r="H8" s="5">
        <f>IF(H$6="","","ΔE(WLab) "&amp;H$6)</f>
        <v/>
      </c>
      <c r="L8" t="inlineStr">
        <is>
          <t>L1</t>
        </is>
      </c>
      <c r="M8" t="inlineStr">
        <is>
          <t>a1</t>
        </is>
      </c>
      <c r="N8" t="inlineStr">
        <is>
          <t>b1</t>
        </is>
      </c>
      <c r="O8" t="inlineStr">
        <is>
          <t>L2</t>
        </is>
      </c>
      <c r="P8" t="inlineStr">
        <is>
          <t>a2</t>
        </is>
      </c>
      <c r="Q8" t="inlineStr">
        <is>
          <t>b2</t>
        </is>
      </c>
      <c r="R8" t="inlineStr">
        <is>
          <t>Cm</t>
        </is>
      </c>
      <c r="S8" t="inlineStr">
        <is>
          <t>G</t>
        </is>
      </c>
      <c r="T8" t="inlineStr">
        <is>
          <t>ap1</t>
        </is>
      </c>
      <c r="U8" t="inlineStr">
        <is>
          <t>ap2</t>
        </is>
      </c>
      <c r="V8" t="inlineStr">
        <is>
          <t>Cp1</t>
        </is>
      </c>
      <c r="W8" t="inlineStr">
        <is>
          <t>Cp2</t>
        </is>
      </c>
      <c r="X8" t="inlineStr">
        <is>
          <t>hp1</t>
        </is>
      </c>
      <c r="Y8" t="inlineStr">
        <is>
          <t>hp2</t>
        </is>
      </c>
      <c r="Z8" t="inlineStr">
        <is>
          <t>dh</t>
        </is>
      </c>
      <c r="AA8" t="inlineStr">
        <is>
          <t>dHp</t>
        </is>
      </c>
      <c r="AB8" t="inlineStr">
        <is>
          <t>Lpm</t>
        </is>
      </c>
      <c r="AC8" t="inlineStr">
        <is>
          <t>Cpm</t>
        </is>
      </c>
      <c r="AD8" t="inlineStr">
        <is>
          <t>hs</t>
        </is>
      </c>
      <c r="AE8" t="inlineStr">
        <is>
          <t>hpm</t>
        </is>
      </c>
      <c r="AF8" t="inlineStr">
        <is>
          <t>T</t>
        </is>
      </c>
      <c r="AG8" t="inlineStr">
        <is>
          <t>RC</t>
        </is>
      </c>
      <c r="AH8" t="inlineStr">
        <is>
          <t>SL</t>
        </is>
      </c>
      <c r="AI8" t="inlineStr">
        <is>
          <t>SC</t>
        </is>
      </c>
      <c r="AJ8" t="inlineStr">
        <is>
          <t>SH</t>
        </is>
      </c>
      <c r="AK8" t="inlineStr">
        <is>
          <t>RT</t>
        </is>
      </c>
    </row>
    <row r="9">
      <c r="A9">
        <f>IF(Spectra!C4="","",Spectra!C4)</f>
        <v/>
      </c>
      <c r="B9" s="6">
        <f>IF(AND(Calc!$E$8&lt;&gt;"",Calc!$E$2&lt;&gt;""),SQRT(((O9-L9)/AH9)^2+((W9-V9)/AI9)^2+(AA9/AJ9)^2+AK9*((W9-V9)/AI9)*(AA9/AJ9)),"")</f>
        <v/>
      </c>
      <c r="C9" s="6">
        <f>IF(OR(Calc!$E$8="",Calc!$E$2=""),"",SQRT((Calc!$T$8-Calc!$T$2)^2+(Calc!$U$8-Calc!$U$2)^2+(Calc!$V$8-Calc!$V$2)^2))</f>
        <v/>
      </c>
      <c r="D9" s="6">
        <f>IF(OR(Calc!$E$9="",Calc!$E$3=""),"",SQRT((Calc!$T$9-Calc!$T$3)^2+(Calc!$U$9-Calc!$U$3)^2+(Calc!$V$9-Calc!$V$3)^2))</f>
        <v/>
      </c>
      <c r="E9" s="6">
        <f>IF(OR(Calc!$E$10="",Calc!$E$4=""),"",SQRT((Calc!$T$10-Calc!$T$4)^2+(Calc!$U$10-Calc!$U$4)^2+(Calc!$V$10-Calc!$V$4)^2))</f>
        <v/>
      </c>
      <c r="F9" s="6">
        <f>IF(OR(Calc!$E$11="",Calc!$E$5=""),"",SQRT((Calc!$T$11-Calc!$T$5)^2+(Calc!$U$11-Calc!$U$5)^2+(Calc!$V$11-Calc!$V$5)^2))</f>
        <v/>
      </c>
      <c r="G9" s="6">
        <f>IF(OR(Calc!$E$12="",Calc!$E$6=""),"",SQRT((Calc!$T$12-Calc!$T$6)^2+(Calc!$U$12-Calc!$U$6)^2+(Calc!$V$12-Calc!$V$6)^2))</f>
        <v/>
      </c>
      <c r="H9" s="6">
        <f>IF(OR(Calc!$E$13="",Calc!$E$7=""),"",SQRT((Calc!$T$13-Calc!$T$7)^2+(Calc!$U$13-Calc!$U$7)^2+(Calc!$V$13-Calc!$V$7)^2))</f>
        <v/>
      </c>
      <c r="L9">
        <f>IF(AND(Calc!$E$8&lt;&gt;"",Calc!$E$2&lt;&gt;""),Calc!$Z$2,"")</f>
        <v/>
      </c>
      <c r="M9">
        <f>IF(AND(Calc!$E$8&lt;&gt;"",Calc!$E$2&lt;&gt;""),Calc!$AA$2,"")</f>
        <v/>
      </c>
      <c r="N9">
        <f>IF(AND(Calc!$E$8&lt;&gt;"",Calc!$E$2&lt;&gt;""),Calc!$AB$2,"")</f>
        <v/>
      </c>
      <c r="O9">
        <f>IF(AND(Calc!$E$8&lt;&gt;"",Calc!$E$2&lt;&gt;""),Calc!$Z$8,"")</f>
        <v/>
      </c>
      <c r="P9">
        <f>IF(AND(Calc!$E$8&lt;&gt;"",Calc!$E$2&lt;&gt;""),Calc!$AA$8,"")</f>
        <v/>
      </c>
      <c r="Q9">
        <f>IF(AND(Calc!$E$8&lt;&gt;"",Calc!$E$2&lt;&gt;""),Calc!$AB$8,"")</f>
        <v/>
      </c>
      <c r="R9">
        <f>IF(AND(Calc!$E$8&lt;&gt;"",Calc!$E$2&lt;&gt;""),(SQRT(M9^2+N9^2)+SQRT(P9^2+Q9^2))/2,"")</f>
        <v/>
      </c>
      <c r="S9">
        <f>IF(AND(Calc!$E$8&lt;&gt;"",Calc!$E$2&lt;&gt;""),0.5*(1-SQRT(R9^7/(R9^7+25^7))),"")</f>
        <v/>
      </c>
      <c r="T9">
        <f>IF(AND(Calc!$E$8&lt;&gt;"",Calc!$E$2&lt;&gt;""),(1+S9)*M9,"")</f>
        <v/>
      </c>
      <c r="U9">
        <f>IF(AND(Calc!$E$8&lt;&gt;"",Calc!$E$2&lt;&gt;""),(1+S9)*P9,"")</f>
        <v/>
      </c>
      <c r="V9">
        <f>IF(AND(Calc!$E$8&lt;&gt;"",Calc!$E$2&lt;&gt;""),SQRT(T9^2+N9^2),"")</f>
        <v/>
      </c>
      <c r="W9">
        <f>IF(AND(Calc!$E$8&lt;&gt;"",Calc!$E$2&lt;&gt;""),SQRT(U9^2+Q9^2),"")</f>
        <v/>
      </c>
      <c r="X9">
        <f>IF(AND(Calc!$E$8&lt;&gt;"",Calc!$E$2&lt;&gt;""),IF(V9=0,0,MOD(DEGREES(ATAN2(T9,N9)),360)),"")</f>
        <v/>
      </c>
      <c r="Y9">
        <f>IF(AND(Calc!$E$8&lt;&gt;"",Calc!$E$2&lt;&gt;""),IF(W9=0,0,MOD(DEGREES(ATAN2(U9,Q9)),360)),"")</f>
        <v/>
      </c>
      <c r="Z9">
        <f>IF(AND(Calc!$E$8&lt;&gt;"",Calc!$E$2&lt;&gt;""),IF(V9*W9=0,0,IF((Y9-X9)&gt;180,(Y9-X9)-360,IF((Y9-X9)&lt;-180,(Y9-X9)+360,(Y9-X9)))),"")</f>
        <v/>
      </c>
      <c r="AA9">
        <f>IF(AND(Calc!$E$8&lt;&gt;"",Calc!$E$2&lt;&gt;""),2*SQRT(V9*W9)*SIN(RADIANS(Z9/2)),"")</f>
        <v/>
      </c>
      <c r="AB9">
        <f>IF(AND(Calc!$E$8&lt;&gt;"",Calc!$E$2&lt;&gt;""),(L9+O9)/2,"")</f>
        <v/>
      </c>
      <c r="AC9">
        <f>IF(AND(Calc!$E$8&lt;&gt;"",Calc!$E$2&lt;&gt;""),(V9+W9)/2,"")</f>
        <v/>
      </c>
      <c r="AD9">
        <f>IF(AND(Calc!$E$8&lt;&gt;"",Calc!$E$2&lt;&gt;""),X9+Y9,"")</f>
        <v/>
      </c>
      <c r="AE9">
        <f>IF(AND(Calc!$E$8&lt;&gt;"",Calc!$E$2&lt;&gt;""),IF(V9*W9=0,AD9,IF(ABS(X9-Y9)&gt;180,IF(AD9&lt;360,(AD9+360)/2,(AD9-360)/2),AD9/2)),"")</f>
        <v/>
      </c>
      <c r="AF9">
        <f>IF(AND(Calc!$E$8&lt;&gt;"",Calc!$E$2&lt;&gt;""),1-0.17*COS(RADIANS(AE9-30))+0.24*COS(RADIANS(2*AE9))+0.32*COS(RADIANS(3*AE9+6))-0.2*COS(RADIANS(4*AE9-63)),"")</f>
        <v/>
      </c>
      <c r="AG9">
        <f>IF(AND(Calc!$E$8&lt;&gt;"",Calc!$E$2&lt;&gt;""),2*SQRT(AC9^7/(AC9^7+25^7)),"")</f>
        <v/>
      </c>
      <c r="AH9">
        <f>IF(AND(Calc!$E$8&lt;&gt;"",Calc!$E$2&lt;&gt;""),1+0.015*(AB9-50)^2/SQRT(20+(AB9-50)^2),"")</f>
        <v/>
      </c>
      <c r="AI9">
        <f>IF(AND(Calc!$E$8&lt;&gt;"",Calc!$E$2&lt;&gt;""),1+0.045*AC9,"")</f>
        <v/>
      </c>
      <c r="AJ9">
        <f>IF(AND(Calc!$E$8&lt;&gt;"",Calc!$E$2&lt;&gt;""),1+0.015*AC9*AF9,"")</f>
        <v/>
      </c>
      <c r="AK9">
        <f>IF(AND(Calc!$E$8&lt;&gt;"",Calc!$E$2&lt;&gt;""),-SIN(RADIANS(2*30*EXP(-(((AE9-275)/25)^2))))*AG9,"")</f>
        <v/>
      </c>
    </row>
    <row r="10">
      <c r="A10">
        <f>IF(Spectra!D4="","",Spectra!D4)</f>
        <v/>
      </c>
      <c r="B10" s="6">
        <f>IF(AND(Calc!$E$14&lt;&gt;"",Calc!$E$2&lt;&gt;""),SQRT(((O10-L10)/AH10)^2+((W10-V10)/AI10)^2+(AA10/AJ10)^2+AK10*((W10-V10)/AI10)*(AA10/AJ10)),"")</f>
        <v/>
      </c>
      <c r="C10" s="6">
        <f>IF(OR(Calc!$E$14="",Calc!$E$2=""),"",SQRT((Calc!$T$14-Calc!$T$2)^2+(Calc!$U$14-Calc!$U$2)^2+(Calc!$V$14-Calc!$V$2)^2))</f>
        <v/>
      </c>
      <c r="D10" s="6">
        <f>IF(OR(Calc!$E$15="",Calc!$E$3=""),"",SQRT((Calc!$T$15-Calc!$T$3)^2+(Calc!$U$15-Calc!$U$3)^2+(Calc!$V$15-Calc!$V$3)^2))</f>
        <v/>
      </c>
      <c r="E10" s="6">
        <f>IF(OR(Calc!$E$16="",Calc!$E$4=""),"",SQRT((Calc!$T$16-Calc!$T$4)^2+(Calc!$U$16-Calc!$U$4)^2+(Calc!$V$16-Calc!$V$4)^2))</f>
        <v/>
      </c>
      <c r="F10" s="6">
        <f>IF(OR(Calc!$E$17="",Calc!$E$5=""),"",SQRT((Calc!$T$17-Calc!$T$5)^2+(Calc!$U$17-Calc!$U$5)^2+(Calc!$V$17-Calc!$V$5)^2))</f>
        <v/>
      </c>
      <c r="G10" s="6">
        <f>IF(OR(Calc!$E$18="",Calc!$E$6=""),"",SQRT((Calc!$T$18-Calc!$T$6)^2+(Calc!$U$18-Calc!$U$6)^2+(Calc!$V$18-Calc!$V$6)^2))</f>
        <v/>
      </c>
      <c r="H10" s="6">
        <f>IF(OR(Calc!$E$19="",Calc!$E$7=""),"",SQRT((Calc!$T$19-Calc!$T$7)^2+(Calc!$U$19-Calc!$U$7)^2+(Calc!$V$19-Calc!$V$7)^2))</f>
        <v/>
      </c>
      <c r="L10">
        <f>IF(AND(Calc!$E$14&lt;&gt;"",Calc!$E$2&lt;&gt;""),Calc!$Z$2,"")</f>
        <v/>
      </c>
      <c r="M10">
        <f>IF(AND(Calc!$E$14&lt;&gt;"",Calc!$E$2&lt;&gt;""),Calc!$AA$2,"")</f>
        <v/>
      </c>
      <c r="N10">
        <f>IF(AND(Calc!$E$14&lt;&gt;"",Calc!$E$2&lt;&gt;""),Calc!$AB$2,"")</f>
        <v/>
      </c>
      <c r="O10">
        <f>IF(AND(Calc!$E$14&lt;&gt;"",Calc!$E$2&lt;&gt;""),Calc!$Z$14,"")</f>
        <v/>
      </c>
      <c r="P10">
        <f>IF(AND(Calc!$E$14&lt;&gt;"",Calc!$E$2&lt;&gt;""),Calc!$AA$14,"")</f>
        <v/>
      </c>
      <c r="Q10">
        <f>IF(AND(Calc!$E$14&lt;&gt;"",Calc!$E$2&lt;&gt;""),Calc!$AB$14,"")</f>
        <v/>
      </c>
      <c r="R10">
        <f>IF(AND(Calc!$E$14&lt;&gt;"",Calc!$E$2&lt;&gt;""),(SQRT(M10^2+N10^2)+SQRT(P10^2+Q10^2))/2,"")</f>
        <v/>
      </c>
      <c r="S10">
        <f>IF(AND(Calc!$E$14&lt;&gt;"",Calc!$E$2&lt;&gt;""),0.5*(1-SQRT(R10^7/(R10^7+25^7))),"")</f>
        <v/>
      </c>
      <c r="T10">
        <f>IF(AND(Calc!$E$14&lt;&gt;"",Calc!$E$2&lt;&gt;""),(1+S10)*M10,"")</f>
        <v/>
      </c>
      <c r="U10">
        <f>IF(AND(Calc!$E$14&lt;&gt;"",Calc!$E$2&lt;&gt;""),(1+S10)*P10,"")</f>
        <v/>
      </c>
      <c r="V10">
        <f>IF(AND(Calc!$E$14&lt;&gt;"",Calc!$E$2&lt;&gt;""),SQRT(T10^2+N10^2),"")</f>
        <v/>
      </c>
      <c r="W10">
        <f>IF(AND(Calc!$E$14&lt;&gt;"",Calc!$E$2&lt;&gt;""),SQRT(U10^2+Q10^2),"")</f>
        <v/>
      </c>
      <c r="X10">
        <f>IF(AND(Calc!$E$14&lt;&gt;"",Calc!$E$2&lt;&gt;""),IF(V10=0,0,MOD(DEGREES(ATAN2(T10,N10)),360)),"")</f>
        <v/>
      </c>
      <c r="Y10">
        <f>IF(AND(Calc!$E$14&lt;&gt;"",Calc!$E$2&lt;&gt;""),IF(W10=0,0,MOD(DEGREES(ATAN2(U10,Q10)),360)),"")</f>
        <v/>
      </c>
      <c r="Z10">
        <f>IF(AND(Calc!$E$14&lt;&gt;"",Calc!$E$2&lt;&gt;""),IF(V10*W10=0,0,IF((Y10-X10)&gt;180,(Y10-X10)-360,IF((Y10-X10)&lt;-180,(Y10-X10)+360,(Y10-X10)))),"")</f>
        <v/>
      </c>
      <c r="AA10">
        <f>IF(AND(Calc!$E$14&lt;&gt;"",Calc!$E$2&lt;&gt;""),2*SQRT(V10*W10)*SIN(RADIANS(Z10/2)),"")</f>
        <v/>
      </c>
      <c r="AB10">
        <f>IF(AND(Calc!$E$14&lt;&gt;"",Calc!$E$2&lt;&gt;""),(L10+O10)/2,"")</f>
        <v/>
      </c>
      <c r="AC10">
        <f>IF(AND(Calc!$E$14&lt;&gt;"",Calc!$E$2&lt;&gt;""),(V10+W10)/2,"")</f>
        <v/>
      </c>
      <c r="AD10">
        <f>IF(AND(Calc!$E$14&lt;&gt;"",Calc!$E$2&lt;&gt;""),X10+Y10,"")</f>
        <v/>
      </c>
      <c r="AE10">
        <f>IF(AND(Calc!$E$14&lt;&gt;"",Calc!$E$2&lt;&gt;""),IF(V10*W10=0,AD10,IF(ABS(X10-Y10)&gt;180,IF(AD10&lt;360,(AD10+360)/2,(AD10-360)/2),AD10/2)),"")</f>
        <v/>
      </c>
      <c r="AF10">
        <f>IF(AND(Calc!$E$14&lt;&gt;"",Calc!$E$2&lt;&gt;""),1-0.17*COS(RADIANS(AE10-30))+0.24*COS(RADIANS(2*AE10))+0.32*COS(RADIANS(3*AE10+6))-0.2*COS(RADIANS(4*AE10-63)),"")</f>
        <v/>
      </c>
      <c r="AG10">
        <f>IF(AND(Calc!$E$14&lt;&gt;"",Calc!$E$2&lt;&gt;""),2*SQRT(AC10^7/(AC10^7+25^7)),"")</f>
        <v/>
      </c>
      <c r="AH10">
        <f>IF(AND(Calc!$E$14&lt;&gt;"",Calc!$E$2&lt;&gt;""),1+0.015*(AB10-50)^2/SQRT(20+(AB10-50)^2),"")</f>
        <v/>
      </c>
      <c r="AI10">
        <f>IF(AND(Calc!$E$14&lt;&gt;"",Calc!$E$2&lt;&gt;""),1+0.045*AC10,"")</f>
        <v/>
      </c>
      <c r="AJ10">
        <f>IF(AND(Calc!$E$14&lt;&gt;"",Calc!$E$2&lt;&gt;""),1+0.015*AC10*AF10,"")</f>
        <v/>
      </c>
      <c r="AK10">
        <f>IF(AND(Calc!$E$14&lt;&gt;"",Calc!$E$2&lt;&gt;""),-SIN(RADIANS(2*30*EXP(-(((AE10-275)/25)^2))))*AG10,"")</f>
        <v/>
      </c>
    </row>
    <row r="11">
      <c r="A11">
        <f>IF(Spectra!E4="","",Spectra!E4)</f>
        <v/>
      </c>
      <c r="B11" s="6">
        <f>IF(AND(Calc!$E$20&lt;&gt;"",Calc!$E$2&lt;&gt;""),SQRT(((O11-L11)/AH11)^2+((W11-V11)/AI11)^2+(AA11/AJ11)^2+AK11*((W11-V11)/AI11)*(AA11/AJ11)),"")</f>
        <v/>
      </c>
      <c r="C11" s="6">
        <f>IF(OR(Calc!$E$20="",Calc!$E$2=""),"",SQRT((Calc!$T$20-Calc!$T$2)^2+(Calc!$U$20-Calc!$U$2)^2+(Calc!$V$20-Calc!$V$2)^2))</f>
        <v/>
      </c>
      <c r="D11" s="6">
        <f>IF(OR(Calc!$E$21="",Calc!$E$3=""),"",SQRT((Calc!$T$21-Calc!$T$3)^2+(Calc!$U$21-Calc!$U$3)^2+(Calc!$V$21-Calc!$V$3)^2))</f>
        <v/>
      </c>
      <c r="E11" s="6">
        <f>IF(OR(Calc!$E$22="",Calc!$E$4=""),"",SQRT((Calc!$T$22-Calc!$T$4)^2+(Calc!$U$22-Calc!$U$4)^2+(Calc!$V$22-Calc!$V$4)^2))</f>
        <v/>
      </c>
      <c r="F11" s="6">
        <f>IF(OR(Calc!$E$23="",Calc!$E$5=""),"",SQRT((Calc!$T$23-Calc!$T$5)^2+(Calc!$U$23-Calc!$U$5)^2+(Calc!$V$23-Calc!$V$5)^2))</f>
        <v/>
      </c>
      <c r="G11" s="6">
        <f>IF(OR(Calc!$E$24="",Calc!$E$6=""),"",SQRT((Calc!$T$24-Calc!$T$6)^2+(Calc!$U$24-Calc!$U$6)^2+(Calc!$V$24-Calc!$V$6)^2))</f>
        <v/>
      </c>
      <c r="H11" s="6">
        <f>IF(OR(Calc!$E$25="",Calc!$E$7=""),"",SQRT((Calc!$T$25-Calc!$T$7)^2+(Calc!$U$25-Calc!$U$7)^2+(Calc!$V$25-Calc!$V$7)^2))</f>
        <v/>
      </c>
      <c r="L11">
        <f>IF(AND(Calc!$E$20&lt;&gt;"",Calc!$E$2&lt;&gt;""),Calc!$Z$2,"")</f>
        <v/>
      </c>
      <c r="M11">
        <f>IF(AND(Calc!$E$20&lt;&gt;"",Calc!$E$2&lt;&gt;""),Calc!$AA$2,"")</f>
        <v/>
      </c>
      <c r="N11">
        <f>IF(AND(Calc!$E$20&lt;&gt;"",Calc!$E$2&lt;&gt;""),Calc!$AB$2,"")</f>
        <v/>
      </c>
      <c r="O11">
        <f>IF(AND(Calc!$E$20&lt;&gt;"",Calc!$E$2&lt;&gt;""),Calc!$Z$20,"")</f>
        <v/>
      </c>
      <c r="P11">
        <f>IF(AND(Calc!$E$20&lt;&gt;"",Calc!$E$2&lt;&gt;""),Calc!$AA$20,"")</f>
        <v/>
      </c>
      <c r="Q11">
        <f>IF(AND(Calc!$E$20&lt;&gt;"",Calc!$E$2&lt;&gt;""),Calc!$AB$20,"")</f>
        <v/>
      </c>
      <c r="R11">
        <f>IF(AND(Calc!$E$20&lt;&gt;"",Calc!$E$2&lt;&gt;""),(SQRT(M11^2+N11^2)+SQRT(P11^2+Q11^2))/2,"")</f>
        <v/>
      </c>
      <c r="S11">
        <f>IF(AND(Calc!$E$20&lt;&gt;"",Calc!$E$2&lt;&gt;""),0.5*(1-SQRT(R11^7/(R11^7+25^7))),"")</f>
        <v/>
      </c>
      <c r="T11">
        <f>IF(AND(Calc!$E$20&lt;&gt;"",Calc!$E$2&lt;&gt;""),(1+S11)*M11,"")</f>
        <v/>
      </c>
      <c r="U11">
        <f>IF(AND(Calc!$E$20&lt;&gt;"",Calc!$E$2&lt;&gt;""),(1+S11)*P11,"")</f>
        <v/>
      </c>
      <c r="V11">
        <f>IF(AND(Calc!$E$20&lt;&gt;"",Calc!$E$2&lt;&gt;""),SQRT(T11^2+N11^2),"")</f>
        <v/>
      </c>
      <c r="W11">
        <f>IF(AND(Calc!$E$20&lt;&gt;"",Calc!$E$2&lt;&gt;""),SQRT(U11^2+Q11^2),"")</f>
        <v/>
      </c>
      <c r="X11">
        <f>IF(AND(Calc!$E$20&lt;&gt;"",Calc!$E$2&lt;&gt;""),IF(V11=0,0,MOD(DEGREES(ATAN2(T11,N11)),360)),"")</f>
        <v/>
      </c>
      <c r="Y11">
        <f>IF(AND(Calc!$E$20&lt;&gt;"",Calc!$E$2&lt;&gt;""),IF(W11=0,0,MOD(DEGREES(ATAN2(U11,Q11)),360)),"")</f>
        <v/>
      </c>
      <c r="Z11">
        <f>IF(AND(Calc!$E$20&lt;&gt;"",Calc!$E$2&lt;&gt;""),IF(V11*W11=0,0,IF((Y11-X11)&gt;180,(Y11-X11)-360,IF((Y11-X11)&lt;-180,(Y11-X11)+360,(Y11-X11)))),"")</f>
        <v/>
      </c>
      <c r="AA11">
        <f>IF(AND(Calc!$E$20&lt;&gt;"",Calc!$E$2&lt;&gt;""),2*SQRT(V11*W11)*SIN(RADIANS(Z11/2)),"")</f>
        <v/>
      </c>
      <c r="AB11">
        <f>IF(AND(Calc!$E$20&lt;&gt;"",Calc!$E$2&lt;&gt;""),(L11+O11)/2,"")</f>
        <v/>
      </c>
      <c r="AC11">
        <f>IF(AND(Calc!$E$20&lt;&gt;"",Calc!$E$2&lt;&gt;""),(V11+W11)/2,"")</f>
        <v/>
      </c>
      <c r="AD11">
        <f>IF(AND(Calc!$E$20&lt;&gt;"",Calc!$E$2&lt;&gt;""),X11+Y11,"")</f>
        <v/>
      </c>
      <c r="AE11">
        <f>IF(AND(Calc!$E$20&lt;&gt;"",Calc!$E$2&lt;&gt;""),IF(V11*W11=0,AD11,IF(ABS(X11-Y11)&gt;180,IF(AD11&lt;360,(AD11+360)/2,(AD11-360)/2),AD11/2)),"")</f>
        <v/>
      </c>
      <c r="AF11">
        <f>IF(AND(Calc!$E$20&lt;&gt;"",Calc!$E$2&lt;&gt;""),1-0.17*COS(RADIANS(AE11-30))+0.24*COS(RADIANS(2*AE11))+0.32*COS(RADIANS(3*AE11+6))-0.2*COS(RADIANS(4*AE11-63)),"")</f>
        <v/>
      </c>
      <c r="AG11">
        <f>IF(AND(Calc!$E$20&lt;&gt;"",Calc!$E$2&lt;&gt;""),2*SQRT(AC11^7/(AC11^7+25^7)),"")</f>
        <v/>
      </c>
      <c r="AH11">
        <f>IF(AND(Calc!$E$20&lt;&gt;"",Calc!$E$2&lt;&gt;""),1+0.015*(AB11-50)^2/SQRT(20+(AB11-50)^2),"")</f>
        <v/>
      </c>
      <c r="AI11">
        <f>IF(AND(Calc!$E$20&lt;&gt;"",Calc!$E$2&lt;&gt;""),1+0.045*AC11,"")</f>
        <v/>
      </c>
      <c r="AJ11">
        <f>IF(AND(Calc!$E$20&lt;&gt;"",Calc!$E$2&lt;&gt;""),1+0.015*AC11*AF11,"")</f>
        <v/>
      </c>
      <c r="AK11">
        <f>IF(AND(Calc!$E$20&lt;&gt;"",Calc!$E$2&lt;&gt;""),-SIN(RADIANS(2*30*EXP(-(((AE11-275)/25)^2))))*AG11,"")</f>
        <v/>
      </c>
    </row>
    <row r="12">
      <c r="A12">
        <f>IF(Spectra!F4="","",Spectra!F4)</f>
        <v/>
      </c>
      <c r="B12" s="6">
        <f>IF(AND(Calc!$E$26&lt;&gt;"",Calc!$E$2&lt;&gt;""),SQRT(((O12-L12)/AH12)^2+((W12-V12)/AI12)^2+(AA12/AJ12)^2+AK12*((W12-V12)/AI12)*(AA12/AJ12)),"")</f>
        <v/>
      </c>
      <c r="C12" s="6">
        <f>IF(OR(Calc!$E$26="",Calc!$E$2=""),"",SQRT((Calc!$T$26-Calc!$T$2)^2+(Calc!$U$26-Calc!$U$2)^2+(Calc!$V$26-Calc!$V$2)^2))</f>
        <v/>
      </c>
      <c r="D12" s="6">
        <f>IF(OR(Calc!$E$27="",Calc!$E$3=""),"",SQRT((Calc!$T$27-Calc!$T$3)^2+(Calc!$U$27-Calc!$U$3)^2+(Calc!$V$27-Calc!$V$3)^2))</f>
        <v/>
      </c>
      <c r="E12" s="6">
        <f>IF(OR(Calc!$E$28="",Calc!$E$4=""),"",SQRT((Calc!$T$28-Calc!$T$4)^2+(Calc!$U$28-Calc!$U$4)^2+(Calc!$V$28-Calc!$V$4)^2))</f>
        <v/>
      </c>
      <c r="F12" s="6">
        <f>IF(OR(Calc!$E$29="",Calc!$E$5=""),"",SQRT((Calc!$T$29-Calc!$T$5)^2+(Calc!$U$29-Calc!$U$5)^2+(Calc!$V$29-Calc!$V$5)^2))</f>
        <v/>
      </c>
      <c r="G12" s="6">
        <f>IF(OR(Calc!$E$30="",Calc!$E$6=""),"",SQRT((Calc!$T$30-Calc!$T$6)^2+(Calc!$U$30-Calc!$U$6)^2+(Calc!$V$30-Calc!$V$6)^2))</f>
        <v/>
      </c>
      <c r="H12" s="6">
        <f>IF(OR(Calc!$E$31="",Calc!$E$7=""),"",SQRT((Calc!$T$31-Calc!$T$7)^2+(Calc!$U$31-Calc!$U$7)^2+(Calc!$V$31-Calc!$V$7)^2))</f>
        <v/>
      </c>
      <c r="L12">
        <f>IF(AND(Calc!$E$26&lt;&gt;"",Calc!$E$2&lt;&gt;""),Calc!$Z$2,"")</f>
        <v/>
      </c>
      <c r="M12">
        <f>IF(AND(Calc!$E$26&lt;&gt;"",Calc!$E$2&lt;&gt;""),Calc!$AA$2,"")</f>
        <v/>
      </c>
      <c r="N12">
        <f>IF(AND(Calc!$E$26&lt;&gt;"",Calc!$E$2&lt;&gt;""),Calc!$AB$2,"")</f>
        <v/>
      </c>
      <c r="O12">
        <f>IF(AND(Calc!$E$26&lt;&gt;"",Calc!$E$2&lt;&gt;""),Calc!$Z$26,"")</f>
        <v/>
      </c>
      <c r="P12">
        <f>IF(AND(Calc!$E$26&lt;&gt;"",Calc!$E$2&lt;&gt;""),Calc!$AA$26,"")</f>
        <v/>
      </c>
      <c r="Q12">
        <f>IF(AND(Calc!$E$26&lt;&gt;"",Calc!$E$2&lt;&gt;""),Calc!$AB$26,"")</f>
        <v/>
      </c>
      <c r="R12">
        <f>IF(AND(Calc!$E$26&lt;&gt;"",Calc!$E$2&lt;&gt;""),(SQRT(M12^2+N12^2)+SQRT(P12^2+Q12^2))/2,"")</f>
        <v/>
      </c>
      <c r="S12">
        <f>IF(AND(Calc!$E$26&lt;&gt;"",Calc!$E$2&lt;&gt;""),0.5*(1-SQRT(R12^7/(R12^7+25^7))),"")</f>
        <v/>
      </c>
      <c r="T12">
        <f>IF(AND(Calc!$E$26&lt;&gt;"",Calc!$E$2&lt;&gt;""),(1+S12)*M12,"")</f>
        <v/>
      </c>
      <c r="U12">
        <f>IF(AND(Calc!$E$26&lt;&gt;"",Calc!$E$2&lt;&gt;""),(1+S12)*P12,"")</f>
        <v/>
      </c>
      <c r="V12">
        <f>IF(AND(Calc!$E$26&lt;&gt;"",Calc!$E$2&lt;&gt;""),SQRT(T12^2+N12^2),"")</f>
        <v/>
      </c>
      <c r="W12">
        <f>IF(AND(Calc!$E$26&lt;&gt;"",Calc!$E$2&lt;&gt;""),SQRT(U12^2+Q12^2),"")</f>
        <v/>
      </c>
      <c r="X12">
        <f>IF(AND(Calc!$E$26&lt;&gt;"",Calc!$E$2&lt;&gt;""),IF(V12=0,0,MOD(DEGREES(ATAN2(T12,N12)),360)),"")</f>
        <v/>
      </c>
      <c r="Y12">
        <f>IF(AND(Calc!$E$26&lt;&gt;"",Calc!$E$2&lt;&gt;""),IF(W12=0,0,MOD(DEGREES(ATAN2(U12,Q12)),360)),"")</f>
        <v/>
      </c>
      <c r="Z12">
        <f>IF(AND(Calc!$E$26&lt;&gt;"",Calc!$E$2&lt;&gt;""),IF(V12*W12=0,0,IF((Y12-X12)&gt;180,(Y12-X12)-360,IF((Y12-X12)&lt;-180,(Y12-X12)+360,(Y12-X12)))),"")</f>
        <v/>
      </c>
      <c r="AA12">
        <f>IF(AND(Calc!$E$26&lt;&gt;"",Calc!$E$2&lt;&gt;""),2*SQRT(V12*W12)*SIN(RADIANS(Z12/2)),"")</f>
        <v/>
      </c>
      <c r="AB12">
        <f>IF(AND(Calc!$E$26&lt;&gt;"",Calc!$E$2&lt;&gt;""),(L12+O12)/2,"")</f>
        <v/>
      </c>
      <c r="AC12">
        <f>IF(AND(Calc!$E$26&lt;&gt;"",Calc!$E$2&lt;&gt;""),(V12+W12)/2,"")</f>
        <v/>
      </c>
      <c r="AD12">
        <f>IF(AND(Calc!$E$26&lt;&gt;"",Calc!$E$2&lt;&gt;""),X12+Y12,"")</f>
        <v/>
      </c>
      <c r="AE12">
        <f>IF(AND(Calc!$E$26&lt;&gt;"",Calc!$E$2&lt;&gt;""),IF(V12*W12=0,AD12,IF(ABS(X12-Y12)&gt;180,IF(AD12&lt;360,(AD12+360)/2,(AD12-360)/2),AD12/2)),"")</f>
        <v/>
      </c>
      <c r="AF12">
        <f>IF(AND(Calc!$E$26&lt;&gt;"",Calc!$E$2&lt;&gt;""),1-0.17*COS(RADIANS(AE12-30))+0.24*COS(RADIANS(2*AE12))+0.32*COS(RADIANS(3*AE12+6))-0.2*COS(RADIANS(4*AE12-63)),"")</f>
        <v/>
      </c>
      <c r="AG12">
        <f>IF(AND(Calc!$E$26&lt;&gt;"",Calc!$E$2&lt;&gt;""),2*SQRT(AC12^7/(AC12^7+25^7)),"")</f>
        <v/>
      </c>
      <c r="AH12">
        <f>IF(AND(Calc!$E$26&lt;&gt;"",Calc!$E$2&lt;&gt;""),1+0.015*(AB12-50)^2/SQRT(20+(AB12-50)^2),"")</f>
        <v/>
      </c>
      <c r="AI12">
        <f>IF(AND(Calc!$E$26&lt;&gt;"",Calc!$E$2&lt;&gt;""),1+0.045*AC12,"")</f>
        <v/>
      </c>
      <c r="AJ12">
        <f>IF(AND(Calc!$E$26&lt;&gt;"",Calc!$E$2&lt;&gt;""),1+0.015*AC12*AF12,"")</f>
        <v/>
      </c>
      <c r="AK12">
        <f>IF(AND(Calc!$E$26&lt;&gt;"",Calc!$E$2&lt;&gt;""),-SIN(RADIANS(2*30*EXP(-(((AE12-275)/25)^2))))*AG12,"")</f>
        <v/>
      </c>
    </row>
    <row r="13">
      <c r="A13">
        <f>IF(Spectra!G4="","",Spectra!G4)</f>
        <v/>
      </c>
      <c r="B13" s="6">
        <f>IF(AND(Calc!$E$32&lt;&gt;"",Calc!$E$2&lt;&gt;""),SQRT(((O13-L13)/AH13)^2+((W13-V13)/AI13)^2+(AA13/AJ13)^2+AK13*((W13-V13)/AI13)*(AA13/AJ13)),"")</f>
        <v/>
      </c>
      <c r="C13" s="6">
        <f>IF(OR(Calc!$E$32="",Calc!$E$2=""),"",SQRT((Calc!$T$32-Calc!$T$2)^2+(Calc!$U$32-Calc!$U$2)^2+(Calc!$V$32-Calc!$V$2)^2))</f>
        <v/>
      </c>
      <c r="D13" s="6">
        <f>IF(OR(Calc!$E$33="",Calc!$E$3=""),"",SQRT((Calc!$T$33-Calc!$T$3)^2+(Calc!$U$33-Calc!$U$3)^2+(Calc!$V$33-Calc!$V$3)^2))</f>
        <v/>
      </c>
      <c r="E13" s="6">
        <f>IF(OR(Calc!$E$34="",Calc!$E$4=""),"",SQRT((Calc!$T$34-Calc!$T$4)^2+(Calc!$U$34-Calc!$U$4)^2+(Calc!$V$34-Calc!$V$4)^2))</f>
        <v/>
      </c>
      <c r="F13" s="6">
        <f>IF(OR(Calc!$E$35="",Calc!$E$5=""),"",SQRT((Calc!$T$35-Calc!$T$5)^2+(Calc!$U$35-Calc!$U$5)^2+(Calc!$V$35-Calc!$V$5)^2))</f>
        <v/>
      </c>
      <c r="G13" s="6">
        <f>IF(OR(Calc!$E$36="",Calc!$E$6=""),"",SQRT((Calc!$T$36-Calc!$T$6)^2+(Calc!$U$36-Calc!$U$6)^2+(Calc!$V$36-Calc!$V$6)^2))</f>
        <v/>
      </c>
      <c r="H13" s="6">
        <f>IF(OR(Calc!$E$37="",Calc!$E$7=""),"",SQRT((Calc!$T$37-Calc!$T$7)^2+(Calc!$U$37-Calc!$U$7)^2+(Calc!$V$37-Calc!$V$7)^2))</f>
        <v/>
      </c>
      <c r="L13">
        <f>IF(AND(Calc!$E$32&lt;&gt;"",Calc!$E$2&lt;&gt;""),Calc!$Z$2,"")</f>
        <v/>
      </c>
      <c r="M13">
        <f>IF(AND(Calc!$E$32&lt;&gt;"",Calc!$E$2&lt;&gt;""),Calc!$AA$2,"")</f>
        <v/>
      </c>
      <c r="N13">
        <f>IF(AND(Calc!$E$32&lt;&gt;"",Calc!$E$2&lt;&gt;""),Calc!$AB$2,"")</f>
        <v/>
      </c>
      <c r="O13">
        <f>IF(AND(Calc!$E$32&lt;&gt;"",Calc!$E$2&lt;&gt;""),Calc!$Z$32,"")</f>
        <v/>
      </c>
      <c r="P13">
        <f>IF(AND(Calc!$E$32&lt;&gt;"",Calc!$E$2&lt;&gt;""),Calc!$AA$32,"")</f>
        <v/>
      </c>
      <c r="Q13">
        <f>IF(AND(Calc!$E$32&lt;&gt;"",Calc!$E$2&lt;&gt;""),Calc!$AB$32,"")</f>
        <v/>
      </c>
      <c r="R13">
        <f>IF(AND(Calc!$E$32&lt;&gt;"",Calc!$E$2&lt;&gt;""),(SQRT(M13^2+N13^2)+SQRT(P13^2+Q13^2))/2,"")</f>
        <v/>
      </c>
      <c r="S13">
        <f>IF(AND(Calc!$E$32&lt;&gt;"",Calc!$E$2&lt;&gt;""),0.5*(1-SQRT(R13^7/(R13^7+25^7))),"")</f>
        <v/>
      </c>
      <c r="T13">
        <f>IF(AND(Calc!$E$32&lt;&gt;"",Calc!$E$2&lt;&gt;""),(1+S13)*M13,"")</f>
        <v/>
      </c>
      <c r="U13">
        <f>IF(AND(Calc!$E$32&lt;&gt;"",Calc!$E$2&lt;&gt;""),(1+S13)*P13,"")</f>
        <v/>
      </c>
      <c r="V13">
        <f>IF(AND(Calc!$E$32&lt;&gt;"",Calc!$E$2&lt;&gt;""),SQRT(T13^2+N13^2),"")</f>
        <v/>
      </c>
      <c r="W13">
        <f>IF(AND(Calc!$E$32&lt;&gt;"",Calc!$E$2&lt;&gt;""),SQRT(U13^2+Q13^2),"")</f>
        <v/>
      </c>
      <c r="X13">
        <f>IF(AND(Calc!$E$32&lt;&gt;"",Calc!$E$2&lt;&gt;""),IF(V13=0,0,MOD(DEGREES(ATAN2(T13,N13)),360)),"")</f>
        <v/>
      </c>
      <c r="Y13">
        <f>IF(AND(Calc!$E$32&lt;&gt;"",Calc!$E$2&lt;&gt;""),IF(W13=0,0,MOD(DEGREES(ATAN2(U13,Q13)),360)),"")</f>
        <v/>
      </c>
      <c r="Z13">
        <f>IF(AND(Calc!$E$32&lt;&gt;"",Calc!$E$2&lt;&gt;""),IF(V13*W13=0,0,IF((Y13-X13)&gt;180,(Y13-X13)-360,IF((Y13-X13)&lt;-180,(Y13-X13)+360,(Y13-X13)))),"")</f>
        <v/>
      </c>
      <c r="AA13">
        <f>IF(AND(Calc!$E$32&lt;&gt;"",Calc!$E$2&lt;&gt;""),2*SQRT(V13*W13)*SIN(RADIANS(Z13/2)),"")</f>
        <v/>
      </c>
      <c r="AB13">
        <f>IF(AND(Calc!$E$32&lt;&gt;"",Calc!$E$2&lt;&gt;""),(L13+O13)/2,"")</f>
        <v/>
      </c>
      <c r="AC13">
        <f>IF(AND(Calc!$E$32&lt;&gt;"",Calc!$E$2&lt;&gt;""),(V13+W13)/2,"")</f>
        <v/>
      </c>
      <c r="AD13">
        <f>IF(AND(Calc!$E$32&lt;&gt;"",Calc!$E$2&lt;&gt;""),X13+Y13,"")</f>
        <v/>
      </c>
      <c r="AE13">
        <f>IF(AND(Calc!$E$32&lt;&gt;"",Calc!$E$2&lt;&gt;""),IF(V13*W13=0,AD13,IF(ABS(X13-Y13)&gt;180,IF(AD13&lt;360,(AD13+360)/2,(AD13-360)/2),AD13/2)),"")</f>
        <v/>
      </c>
      <c r="AF13">
        <f>IF(AND(Calc!$E$32&lt;&gt;"",Calc!$E$2&lt;&gt;""),1-0.17*COS(RADIANS(AE13-30))+0.24*COS(RADIANS(2*AE13))+0.32*COS(RADIANS(3*AE13+6))-0.2*COS(RADIANS(4*AE13-63)),"")</f>
        <v/>
      </c>
      <c r="AG13">
        <f>IF(AND(Calc!$E$32&lt;&gt;"",Calc!$E$2&lt;&gt;""),2*SQRT(AC13^7/(AC13^7+25^7)),"")</f>
        <v/>
      </c>
      <c r="AH13">
        <f>IF(AND(Calc!$E$32&lt;&gt;"",Calc!$E$2&lt;&gt;""),1+0.015*(AB13-50)^2/SQRT(20+(AB13-50)^2),"")</f>
        <v/>
      </c>
      <c r="AI13">
        <f>IF(AND(Calc!$E$32&lt;&gt;"",Calc!$E$2&lt;&gt;""),1+0.045*AC13,"")</f>
        <v/>
      </c>
      <c r="AJ13">
        <f>IF(AND(Calc!$E$32&lt;&gt;"",Calc!$E$2&lt;&gt;""),1+0.015*AC13*AF13,"")</f>
        <v/>
      </c>
      <c r="AK13">
        <f>IF(AND(Calc!$E$32&lt;&gt;"",Calc!$E$2&lt;&gt;""),-SIN(RADIANS(2*30*EXP(-(((AE13-275)/25)^2))))*AG13,"")</f>
        <v/>
      </c>
    </row>
    <row r="14">
      <c r="A14">
        <f>IF(Spectra!H4="","",Spectra!H4)</f>
        <v/>
      </c>
      <c r="B14" s="6">
        <f>IF(AND(Calc!$E$38&lt;&gt;"",Calc!$E$2&lt;&gt;""),SQRT(((O14-L14)/AH14)^2+((W14-V14)/AI14)^2+(AA14/AJ14)^2+AK14*((W14-V14)/AI14)*(AA14/AJ14)),"")</f>
        <v/>
      </c>
      <c r="C14" s="6">
        <f>IF(OR(Calc!$E$38="",Calc!$E$2=""),"",SQRT((Calc!$T$38-Calc!$T$2)^2+(Calc!$U$38-Calc!$U$2)^2+(Calc!$V$38-Calc!$V$2)^2))</f>
        <v/>
      </c>
      <c r="D14" s="6">
        <f>IF(OR(Calc!$E$39="",Calc!$E$3=""),"",SQRT((Calc!$T$39-Calc!$T$3)^2+(Calc!$U$39-Calc!$U$3)^2+(Calc!$V$39-Calc!$V$3)^2))</f>
        <v/>
      </c>
      <c r="E14" s="6">
        <f>IF(OR(Calc!$E$40="",Calc!$E$4=""),"",SQRT((Calc!$T$40-Calc!$T$4)^2+(Calc!$U$40-Calc!$U$4)^2+(Calc!$V$40-Calc!$V$4)^2))</f>
        <v/>
      </c>
      <c r="F14" s="6">
        <f>IF(OR(Calc!$E$41="",Calc!$E$5=""),"",SQRT((Calc!$T$41-Calc!$T$5)^2+(Calc!$U$41-Calc!$U$5)^2+(Calc!$V$41-Calc!$V$5)^2))</f>
        <v/>
      </c>
      <c r="G14" s="6">
        <f>IF(OR(Calc!$E$42="",Calc!$E$6=""),"",SQRT((Calc!$T$42-Calc!$T$6)^2+(Calc!$U$42-Calc!$U$6)^2+(Calc!$V$42-Calc!$V$6)^2))</f>
        <v/>
      </c>
      <c r="H14" s="6">
        <f>IF(OR(Calc!$E$43="",Calc!$E$7=""),"",SQRT((Calc!$T$43-Calc!$T$7)^2+(Calc!$U$43-Calc!$U$7)^2+(Calc!$V$43-Calc!$V$7)^2))</f>
        <v/>
      </c>
      <c r="L14">
        <f>IF(AND(Calc!$E$38&lt;&gt;"",Calc!$E$2&lt;&gt;""),Calc!$Z$2,"")</f>
        <v/>
      </c>
      <c r="M14">
        <f>IF(AND(Calc!$E$38&lt;&gt;"",Calc!$E$2&lt;&gt;""),Calc!$AA$2,"")</f>
        <v/>
      </c>
      <c r="N14">
        <f>IF(AND(Calc!$E$38&lt;&gt;"",Calc!$E$2&lt;&gt;""),Calc!$AB$2,"")</f>
        <v/>
      </c>
      <c r="O14">
        <f>IF(AND(Calc!$E$38&lt;&gt;"",Calc!$E$2&lt;&gt;""),Calc!$Z$38,"")</f>
        <v/>
      </c>
      <c r="P14">
        <f>IF(AND(Calc!$E$38&lt;&gt;"",Calc!$E$2&lt;&gt;""),Calc!$AA$38,"")</f>
        <v/>
      </c>
      <c r="Q14">
        <f>IF(AND(Calc!$E$38&lt;&gt;"",Calc!$E$2&lt;&gt;""),Calc!$AB$38,"")</f>
        <v/>
      </c>
      <c r="R14">
        <f>IF(AND(Calc!$E$38&lt;&gt;"",Calc!$E$2&lt;&gt;""),(SQRT(M14^2+N14^2)+SQRT(P14^2+Q14^2))/2,"")</f>
        <v/>
      </c>
      <c r="S14">
        <f>IF(AND(Calc!$E$38&lt;&gt;"",Calc!$E$2&lt;&gt;""),0.5*(1-SQRT(R14^7/(R14^7+25^7))),"")</f>
        <v/>
      </c>
      <c r="T14">
        <f>IF(AND(Calc!$E$38&lt;&gt;"",Calc!$E$2&lt;&gt;""),(1+S14)*M14,"")</f>
        <v/>
      </c>
      <c r="U14">
        <f>IF(AND(Calc!$E$38&lt;&gt;"",Calc!$E$2&lt;&gt;""),(1+S14)*P14,"")</f>
        <v/>
      </c>
      <c r="V14">
        <f>IF(AND(Calc!$E$38&lt;&gt;"",Calc!$E$2&lt;&gt;""),SQRT(T14^2+N14^2),"")</f>
        <v/>
      </c>
      <c r="W14">
        <f>IF(AND(Calc!$E$38&lt;&gt;"",Calc!$E$2&lt;&gt;""),SQRT(U14^2+Q14^2),"")</f>
        <v/>
      </c>
      <c r="X14">
        <f>IF(AND(Calc!$E$38&lt;&gt;"",Calc!$E$2&lt;&gt;""),IF(V14=0,0,MOD(DEGREES(ATAN2(T14,N14)),360)),"")</f>
        <v/>
      </c>
      <c r="Y14">
        <f>IF(AND(Calc!$E$38&lt;&gt;"",Calc!$E$2&lt;&gt;""),IF(W14=0,0,MOD(DEGREES(ATAN2(U14,Q14)),360)),"")</f>
        <v/>
      </c>
      <c r="Z14">
        <f>IF(AND(Calc!$E$38&lt;&gt;"",Calc!$E$2&lt;&gt;""),IF(V14*W14=0,0,IF((Y14-X14)&gt;180,(Y14-X14)-360,IF((Y14-X14)&lt;-180,(Y14-X14)+360,(Y14-X14)))),"")</f>
        <v/>
      </c>
      <c r="AA14">
        <f>IF(AND(Calc!$E$38&lt;&gt;"",Calc!$E$2&lt;&gt;""),2*SQRT(V14*W14)*SIN(RADIANS(Z14/2)),"")</f>
        <v/>
      </c>
      <c r="AB14">
        <f>IF(AND(Calc!$E$38&lt;&gt;"",Calc!$E$2&lt;&gt;""),(L14+O14)/2,"")</f>
        <v/>
      </c>
      <c r="AC14">
        <f>IF(AND(Calc!$E$38&lt;&gt;"",Calc!$E$2&lt;&gt;""),(V14+W14)/2,"")</f>
        <v/>
      </c>
      <c r="AD14">
        <f>IF(AND(Calc!$E$38&lt;&gt;"",Calc!$E$2&lt;&gt;""),X14+Y14,"")</f>
        <v/>
      </c>
      <c r="AE14">
        <f>IF(AND(Calc!$E$38&lt;&gt;"",Calc!$E$2&lt;&gt;""),IF(V14*W14=0,AD14,IF(ABS(X14-Y14)&gt;180,IF(AD14&lt;360,(AD14+360)/2,(AD14-360)/2),AD14/2)),"")</f>
        <v/>
      </c>
      <c r="AF14">
        <f>IF(AND(Calc!$E$38&lt;&gt;"",Calc!$E$2&lt;&gt;""),1-0.17*COS(RADIANS(AE14-30))+0.24*COS(RADIANS(2*AE14))+0.32*COS(RADIANS(3*AE14+6))-0.2*COS(RADIANS(4*AE14-63)),"")</f>
        <v/>
      </c>
      <c r="AG14">
        <f>IF(AND(Calc!$E$38&lt;&gt;"",Calc!$E$2&lt;&gt;""),2*SQRT(AC14^7/(AC14^7+25^7)),"")</f>
        <v/>
      </c>
      <c r="AH14">
        <f>IF(AND(Calc!$E$38&lt;&gt;"",Calc!$E$2&lt;&gt;""),1+0.015*(AB14-50)^2/SQRT(20+(AB14-50)^2),"")</f>
        <v/>
      </c>
      <c r="AI14">
        <f>IF(AND(Calc!$E$38&lt;&gt;"",Calc!$E$2&lt;&gt;""),1+0.045*AC14,"")</f>
        <v/>
      </c>
      <c r="AJ14">
        <f>IF(AND(Calc!$E$38&lt;&gt;"",Calc!$E$2&lt;&gt;""),1+0.015*AC14*AF14,"")</f>
        <v/>
      </c>
      <c r="AK14">
        <f>IF(AND(Calc!$E$38&lt;&gt;"",Calc!$E$2&lt;&gt;""),-SIN(RADIANS(2*30*EXP(-(((AE14-275)/25)^2))))*AG14,"")</f>
        <v/>
      </c>
    </row>
    <row r="15">
      <c r="A15">
        <f>IF(Spectra!I4="","",Spectra!I4)</f>
        <v/>
      </c>
      <c r="B15" s="6">
        <f>IF(AND(Calc!$E$44&lt;&gt;"",Calc!$E$2&lt;&gt;""),SQRT(((O15-L15)/AH15)^2+((W15-V15)/AI15)^2+(AA15/AJ15)^2+AK15*((W15-V15)/AI15)*(AA15/AJ15)),"")</f>
        <v/>
      </c>
      <c r="C15" s="6">
        <f>IF(OR(Calc!$E$44="",Calc!$E$2=""),"",SQRT((Calc!$T$44-Calc!$T$2)^2+(Calc!$U$44-Calc!$U$2)^2+(Calc!$V$44-Calc!$V$2)^2))</f>
        <v/>
      </c>
      <c r="D15" s="6">
        <f>IF(OR(Calc!$E$45="",Calc!$E$3=""),"",SQRT((Calc!$T$45-Calc!$T$3)^2+(Calc!$U$45-Calc!$U$3)^2+(Calc!$V$45-Calc!$V$3)^2))</f>
        <v/>
      </c>
      <c r="E15" s="6">
        <f>IF(OR(Calc!$E$46="",Calc!$E$4=""),"",SQRT((Calc!$T$46-Calc!$T$4)^2+(Calc!$U$46-Calc!$U$4)^2+(Calc!$V$46-Calc!$V$4)^2))</f>
        <v/>
      </c>
      <c r="F15" s="6">
        <f>IF(OR(Calc!$E$47="",Calc!$E$5=""),"",SQRT((Calc!$T$47-Calc!$T$5)^2+(Calc!$U$47-Calc!$U$5)^2+(Calc!$V$47-Calc!$V$5)^2))</f>
        <v/>
      </c>
      <c r="G15" s="6">
        <f>IF(OR(Calc!$E$48="",Calc!$E$6=""),"",SQRT((Calc!$T$48-Calc!$T$6)^2+(Calc!$U$48-Calc!$U$6)^2+(Calc!$V$48-Calc!$V$6)^2))</f>
        <v/>
      </c>
      <c r="H15" s="6">
        <f>IF(OR(Calc!$E$49="",Calc!$E$7=""),"",SQRT((Calc!$T$49-Calc!$T$7)^2+(Calc!$U$49-Calc!$U$7)^2+(Calc!$V$49-Calc!$V$7)^2))</f>
        <v/>
      </c>
      <c r="L15">
        <f>IF(AND(Calc!$E$44&lt;&gt;"",Calc!$E$2&lt;&gt;""),Calc!$Z$2,"")</f>
        <v/>
      </c>
      <c r="M15">
        <f>IF(AND(Calc!$E$44&lt;&gt;"",Calc!$E$2&lt;&gt;""),Calc!$AA$2,"")</f>
        <v/>
      </c>
      <c r="N15">
        <f>IF(AND(Calc!$E$44&lt;&gt;"",Calc!$E$2&lt;&gt;""),Calc!$AB$2,"")</f>
        <v/>
      </c>
      <c r="O15">
        <f>IF(AND(Calc!$E$44&lt;&gt;"",Calc!$E$2&lt;&gt;""),Calc!$Z$44,"")</f>
        <v/>
      </c>
      <c r="P15">
        <f>IF(AND(Calc!$E$44&lt;&gt;"",Calc!$E$2&lt;&gt;""),Calc!$AA$44,"")</f>
        <v/>
      </c>
      <c r="Q15">
        <f>IF(AND(Calc!$E$44&lt;&gt;"",Calc!$E$2&lt;&gt;""),Calc!$AB$44,"")</f>
        <v/>
      </c>
      <c r="R15">
        <f>IF(AND(Calc!$E$44&lt;&gt;"",Calc!$E$2&lt;&gt;""),(SQRT(M15^2+N15^2)+SQRT(P15^2+Q15^2))/2,"")</f>
        <v/>
      </c>
      <c r="S15">
        <f>IF(AND(Calc!$E$44&lt;&gt;"",Calc!$E$2&lt;&gt;""),0.5*(1-SQRT(R15^7/(R15^7+25^7))),"")</f>
        <v/>
      </c>
      <c r="T15">
        <f>IF(AND(Calc!$E$44&lt;&gt;"",Calc!$E$2&lt;&gt;""),(1+S15)*M15,"")</f>
        <v/>
      </c>
      <c r="U15">
        <f>IF(AND(Calc!$E$44&lt;&gt;"",Calc!$E$2&lt;&gt;""),(1+S15)*P15,"")</f>
        <v/>
      </c>
      <c r="V15">
        <f>IF(AND(Calc!$E$44&lt;&gt;"",Calc!$E$2&lt;&gt;""),SQRT(T15^2+N15^2),"")</f>
        <v/>
      </c>
      <c r="W15">
        <f>IF(AND(Calc!$E$44&lt;&gt;"",Calc!$E$2&lt;&gt;""),SQRT(U15^2+Q15^2),"")</f>
        <v/>
      </c>
      <c r="X15">
        <f>IF(AND(Calc!$E$44&lt;&gt;"",Calc!$E$2&lt;&gt;""),IF(V15=0,0,MOD(DEGREES(ATAN2(T15,N15)),360)),"")</f>
        <v/>
      </c>
      <c r="Y15">
        <f>IF(AND(Calc!$E$44&lt;&gt;"",Calc!$E$2&lt;&gt;""),IF(W15=0,0,MOD(DEGREES(ATAN2(U15,Q15)),360)),"")</f>
        <v/>
      </c>
      <c r="Z15">
        <f>IF(AND(Calc!$E$44&lt;&gt;"",Calc!$E$2&lt;&gt;""),IF(V15*W15=0,0,IF((Y15-X15)&gt;180,(Y15-X15)-360,IF((Y15-X15)&lt;-180,(Y15-X15)+360,(Y15-X15)))),"")</f>
        <v/>
      </c>
      <c r="AA15">
        <f>IF(AND(Calc!$E$44&lt;&gt;"",Calc!$E$2&lt;&gt;""),2*SQRT(V15*W15)*SIN(RADIANS(Z15/2)),"")</f>
        <v/>
      </c>
      <c r="AB15">
        <f>IF(AND(Calc!$E$44&lt;&gt;"",Calc!$E$2&lt;&gt;""),(L15+O15)/2,"")</f>
        <v/>
      </c>
      <c r="AC15">
        <f>IF(AND(Calc!$E$44&lt;&gt;"",Calc!$E$2&lt;&gt;""),(V15+W15)/2,"")</f>
        <v/>
      </c>
      <c r="AD15">
        <f>IF(AND(Calc!$E$44&lt;&gt;"",Calc!$E$2&lt;&gt;""),X15+Y15,"")</f>
        <v/>
      </c>
      <c r="AE15">
        <f>IF(AND(Calc!$E$44&lt;&gt;"",Calc!$E$2&lt;&gt;""),IF(V15*W15=0,AD15,IF(ABS(X15-Y15)&gt;180,IF(AD15&lt;360,(AD15+360)/2,(AD15-360)/2),AD15/2)),"")</f>
        <v/>
      </c>
      <c r="AF15">
        <f>IF(AND(Calc!$E$44&lt;&gt;"",Calc!$E$2&lt;&gt;""),1-0.17*COS(RADIANS(AE15-30))+0.24*COS(RADIANS(2*AE15))+0.32*COS(RADIANS(3*AE15+6))-0.2*COS(RADIANS(4*AE15-63)),"")</f>
        <v/>
      </c>
      <c r="AG15">
        <f>IF(AND(Calc!$E$44&lt;&gt;"",Calc!$E$2&lt;&gt;""),2*SQRT(AC15^7/(AC15^7+25^7)),"")</f>
        <v/>
      </c>
      <c r="AH15">
        <f>IF(AND(Calc!$E$44&lt;&gt;"",Calc!$E$2&lt;&gt;""),1+0.015*(AB15-50)^2/SQRT(20+(AB15-50)^2),"")</f>
        <v/>
      </c>
      <c r="AI15">
        <f>IF(AND(Calc!$E$44&lt;&gt;"",Calc!$E$2&lt;&gt;""),1+0.045*AC15,"")</f>
        <v/>
      </c>
      <c r="AJ15">
        <f>IF(AND(Calc!$E$44&lt;&gt;"",Calc!$E$2&lt;&gt;""),1+0.015*AC15*AF15,"")</f>
        <v/>
      </c>
      <c r="AK15">
        <f>IF(AND(Calc!$E$44&lt;&gt;"",Calc!$E$2&lt;&gt;""),-SIN(RADIANS(2*30*EXP(-(((AE15-275)/25)^2))))*AG15,"")</f>
        <v/>
      </c>
    </row>
    <row r="16">
      <c r="A16">
        <f>IF(Spectra!J4="","",Spectra!J4)</f>
        <v/>
      </c>
      <c r="B16" s="6">
        <f>IF(AND(Calc!$E$50&lt;&gt;"",Calc!$E$2&lt;&gt;""),SQRT(((O16-L16)/AH16)^2+((W16-V16)/AI16)^2+(AA16/AJ16)^2+AK16*((W16-V16)/AI16)*(AA16/AJ16)),"")</f>
        <v/>
      </c>
      <c r="C16" s="6">
        <f>IF(OR(Calc!$E$50="",Calc!$E$2=""),"",SQRT((Calc!$T$50-Calc!$T$2)^2+(Calc!$U$50-Calc!$U$2)^2+(Calc!$V$50-Calc!$V$2)^2))</f>
        <v/>
      </c>
      <c r="D16" s="6">
        <f>IF(OR(Calc!$E$51="",Calc!$E$3=""),"",SQRT((Calc!$T$51-Calc!$T$3)^2+(Calc!$U$51-Calc!$U$3)^2+(Calc!$V$51-Calc!$V$3)^2))</f>
        <v/>
      </c>
      <c r="E16" s="6">
        <f>IF(OR(Calc!$E$52="",Calc!$E$4=""),"",SQRT((Calc!$T$52-Calc!$T$4)^2+(Calc!$U$52-Calc!$U$4)^2+(Calc!$V$52-Calc!$V$4)^2))</f>
        <v/>
      </c>
      <c r="F16" s="6">
        <f>IF(OR(Calc!$E$53="",Calc!$E$5=""),"",SQRT((Calc!$T$53-Calc!$T$5)^2+(Calc!$U$53-Calc!$U$5)^2+(Calc!$V$53-Calc!$V$5)^2))</f>
        <v/>
      </c>
      <c r="G16" s="6">
        <f>IF(OR(Calc!$E$54="",Calc!$E$6=""),"",SQRT((Calc!$T$54-Calc!$T$6)^2+(Calc!$U$54-Calc!$U$6)^2+(Calc!$V$54-Calc!$V$6)^2))</f>
        <v/>
      </c>
      <c r="H16" s="6">
        <f>IF(OR(Calc!$E$55="",Calc!$E$7=""),"",SQRT((Calc!$T$55-Calc!$T$7)^2+(Calc!$U$55-Calc!$U$7)^2+(Calc!$V$55-Calc!$V$7)^2))</f>
        <v/>
      </c>
      <c r="L16">
        <f>IF(AND(Calc!$E$50&lt;&gt;"",Calc!$E$2&lt;&gt;""),Calc!$Z$2,"")</f>
        <v/>
      </c>
      <c r="M16">
        <f>IF(AND(Calc!$E$50&lt;&gt;"",Calc!$E$2&lt;&gt;""),Calc!$AA$2,"")</f>
        <v/>
      </c>
      <c r="N16">
        <f>IF(AND(Calc!$E$50&lt;&gt;"",Calc!$E$2&lt;&gt;""),Calc!$AB$2,"")</f>
        <v/>
      </c>
      <c r="O16">
        <f>IF(AND(Calc!$E$50&lt;&gt;"",Calc!$E$2&lt;&gt;""),Calc!$Z$50,"")</f>
        <v/>
      </c>
      <c r="P16">
        <f>IF(AND(Calc!$E$50&lt;&gt;"",Calc!$E$2&lt;&gt;""),Calc!$AA$50,"")</f>
        <v/>
      </c>
      <c r="Q16">
        <f>IF(AND(Calc!$E$50&lt;&gt;"",Calc!$E$2&lt;&gt;""),Calc!$AB$50,"")</f>
        <v/>
      </c>
      <c r="R16">
        <f>IF(AND(Calc!$E$50&lt;&gt;"",Calc!$E$2&lt;&gt;""),(SQRT(M16^2+N16^2)+SQRT(P16^2+Q16^2))/2,"")</f>
        <v/>
      </c>
      <c r="S16">
        <f>IF(AND(Calc!$E$50&lt;&gt;"",Calc!$E$2&lt;&gt;""),0.5*(1-SQRT(R16^7/(R16^7+25^7))),"")</f>
        <v/>
      </c>
      <c r="T16">
        <f>IF(AND(Calc!$E$50&lt;&gt;"",Calc!$E$2&lt;&gt;""),(1+S16)*M16,"")</f>
        <v/>
      </c>
      <c r="U16">
        <f>IF(AND(Calc!$E$50&lt;&gt;"",Calc!$E$2&lt;&gt;""),(1+S16)*P16,"")</f>
        <v/>
      </c>
      <c r="V16">
        <f>IF(AND(Calc!$E$50&lt;&gt;"",Calc!$E$2&lt;&gt;""),SQRT(T16^2+N16^2),"")</f>
        <v/>
      </c>
      <c r="W16">
        <f>IF(AND(Calc!$E$50&lt;&gt;"",Calc!$E$2&lt;&gt;""),SQRT(U16^2+Q16^2),"")</f>
        <v/>
      </c>
      <c r="X16">
        <f>IF(AND(Calc!$E$50&lt;&gt;"",Calc!$E$2&lt;&gt;""),IF(V16=0,0,MOD(DEGREES(ATAN2(T16,N16)),360)),"")</f>
        <v/>
      </c>
      <c r="Y16">
        <f>IF(AND(Calc!$E$50&lt;&gt;"",Calc!$E$2&lt;&gt;""),IF(W16=0,0,MOD(DEGREES(ATAN2(U16,Q16)),360)),"")</f>
        <v/>
      </c>
      <c r="Z16">
        <f>IF(AND(Calc!$E$50&lt;&gt;"",Calc!$E$2&lt;&gt;""),IF(V16*W16=0,0,IF((Y16-X16)&gt;180,(Y16-X16)-360,IF((Y16-X16)&lt;-180,(Y16-X16)+360,(Y16-X16)))),"")</f>
        <v/>
      </c>
      <c r="AA16">
        <f>IF(AND(Calc!$E$50&lt;&gt;"",Calc!$E$2&lt;&gt;""),2*SQRT(V16*W16)*SIN(RADIANS(Z16/2)),"")</f>
        <v/>
      </c>
      <c r="AB16">
        <f>IF(AND(Calc!$E$50&lt;&gt;"",Calc!$E$2&lt;&gt;""),(L16+O16)/2,"")</f>
        <v/>
      </c>
      <c r="AC16">
        <f>IF(AND(Calc!$E$50&lt;&gt;"",Calc!$E$2&lt;&gt;""),(V16+W16)/2,"")</f>
        <v/>
      </c>
      <c r="AD16">
        <f>IF(AND(Calc!$E$50&lt;&gt;"",Calc!$E$2&lt;&gt;""),X16+Y16,"")</f>
        <v/>
      </c>
      <c r="AE16">
        <f>IF(AND(Calc!$E$50&lt;&gt;"",Calc!$E$2&lt;&gt;""),IF(V16*W16=0,AD16,IF(ABS(X16-Y16)&gt;180,IF(AD16&lt;360,(AD16+360)/2,(AD16-360)/2),AD16/2)),"")</f>
        <v/>
      </c>
      <c r="AF16">
        <f>IF(AND(Calc!$E$50&lt;&gt;"",Calc!$E$2&lt;&gt;""),1-0.17*COS(RADIANS(AE16-30))+0.24*COS(RADIANS(2*AE16))+0.32*COS(RADIANS(3*AE16+6))-0.2*COS(RADIANS(4*AE16-63)),"")</f>
        <v/>
      </c>
      <c r="AG16">
        <f>IF(AND(Calc!$E$50&lt;&gt;"",Calc!$E$2&lt;&gt;""),2*SQRT(AC16^7/(AC16^7+25^7)),"")</f>
        <v/>
      </c>
      <c r="AH16">
        <f>IF(AND(Calc!$E$50&lt;&gt;"",Calc!$E$2&lt;&gt;""),1+0.015*(AB16-50)^2/SQRT(20+(AB16-50)^2),"")</f>
        <v/>
      </c>
      <c r="AI16">
        <f>IF(AND(Calc!$E$50&lt;&gt;"",Calc!$E$2&lt;&gt;""),1+0.045*AC16,"")</f>
        <v/>
      </c>
      <c r="AJ16">
        <f>IF(AND(Calc!$E$50&lt;&gt;"",Calc!$E$2&lt;&gt;""),1+0.015*AC16*AF16,"")</f>
        <v/>
      </c>
      <c r="AK16">
        <f>IF(AND(Calc!$E$50&lt;&gt;"",Calc!$E$2&lt;&gt;""),-SIN(RADIANS(2*30*EXP(-(((AE16-275)/25)^2))))*AG16,"")</f>
        <v/>
      </c>
    </row>
    <row r="17">
      <c r="A17">
        <f>IF(Spectra!K4="","",Spectra!K4)</f>
        <v/>
      </c>
      <c r="B17" s="6">
        <f>IF(AND(Calc!$E$56&lt;&gt;"",Calc!$E$2&lt;&gt;""),SQRT(((O17-L17)/AH17)^2+((W17-V17)/AI17)^2+(AA17/AJ17)^2+AK17*((W17-V17)/AI17)*(AA17/AJ17)),"")</f>
        <v/>
      </c>
      <c r="C17" s="6">
        <f>IF(OR(Calc!$E$56="",Calc!$E$2=""),"",SQRT((Calc!$T$56-Calc!$T$2)^2+(Calc!$U$56-Calc!$U$2)^2+(Calc!$V$56-Calc!$V$2)^2))</f>
        <v/>
      </c>
      <c r="D17" s="6">
        <f>IF(OR(Calc!$E$57="",Calc!$E$3=""),"",SQRT((Calc!$T$57-Calc!$T$3)^2+(Calc!$U$57-Calc!$U$3)^2+(Calc!$V$57-Calc!$V$3)^2))</f>
        <v/>
      </c>
      <c r="E17" s="6">
        <f>IF(OR(Calc!$E$58="",Calc!$E$4=""),"",SQRT((Calc!$T$58-Calc!$T$4)^2+(Calc!$U$58-Calc!$U$4)^2+(Calc!$V$58-Calc!$V$4)^2))</f>
        <v/>
      </c>
      <c r="F17" s="6">
        <f>IF(OR(Calc!$E$59="",Calc!$E$5=""),"",SQRT((Calc!$T$59-Calc!$T$5)^2+(Calc!$U$59-Calc!$U$5)^2+(Calc!$V$59-Calc!$V$5)^2))</f>
        <v/>
      </c>
      <c r="G17" s="6">
        <f>IF(OR(Calc!$E$60="",Calc!$E$6=""),"",SQRT((Calc!$T$60-Calc!$T$6)^2+(Calc!$U$60-Calc!$U$6)^2+(Calc!$V$60-Calc!$V$6)^2))</f>
        <v/>
      </c>
      <c r="H17" s="6">
        <f>IF(OR(Calc!$E$61="",Calc!$E$7=""),"",SQRT((Calc!$T$61-Calc!$T$7)^2+(Calc!$U$61-Calc!$U$7)^2+(Calc!$V$61-Calc!$V$7)^2))</f>
        <v/>
      </c>
      <c r="L17">
        <f>IF(AND(Calc!$E$56&lt;&gt;"",Calc!$E$2&lt;&gt;""),Calc!$Z$2,"")</f>
        <v/>
      </c>
      <c r="M17">
        <f>IF(AND(Calc!$E$56&lt;&gt;"",Calc!$E$2&lt;&gt;""),Calc!$AA$2,"")</f>
        <v/>
      </c>
      <c r="N17">
        <f>IF(AND(Calc!$E$56&lt;&gt;"",Calc!$E$2&lt;&gt;""),Calc!$AB$2,"")</f>
        <v/>
      </c>
      <c r="O17">
        <f>IF(AND(Calc!$E$56&lt;&gt;"",Calc!$E$2&lt;&gt;""),Calc!$Z$56,"")</f>
        <v/>
      </c>
      <c r="P17">
        <f>IF(AND(Calc!$E$56&lt;&gt;"",Calc!$E$2&lt;&gt;""),Calc!$AA$56,"")</f>
        <v/>
      </c>
      <c r="Q17">
        <f>IF(AND(Calc!$E$56&lt;&gt;"",Calc!$E$2&lt;&gt;""),Calc!$AB$56,"")</f>
        <v/>
      </c>
      <c r="R17">
        <f>IF(AND(Calc!$E$56&lt;&gt;"",Calc!$E$2&lt;&gt;""),(SQRT(M17^2+N17^2)+SQRT(P17^2+Q17^2))/2,"")</f>
        <v/>
      </c>
      <c r="S17">
        <f>IF(AND(Calc!$E$56&lt;&gt;"",Calc!$E$2&lt;&gt;""),0.5*(1-SQRT(R17^7/(R17^7+25^7))),"")</f>
        <v/>
      </c>
      <c r="T17">
        <f>IF(AND(Calc!$E$56&lt;&gt;"",Calc!$E$2&lt;&gt;""),(1+S17)*M17,"")</f>
        <v/>
      </c>
      <c r="U17">
        <f>IF(AND(Calc!$E$56&lt;&gt;"",Calc!$E$2&lt;&gt;""),(1+S17)*P17,"")</f>
        <v/>
      </c>
      <c r="V17">
        <f>IF(AND(Calc!$E$56&lt;&gt;"",Calc!$E$2&lt;&gt;""),SQRT(T17^2+N17^2),"")</f>
        <v/>
      </c>
      <c r="W17">
        <f>IF(AND(Calc!$E$56&lt;&gt;"",Calc!$E$2&lt;&gt;""),SQRT(U17^2+Q17^2),"")</f>
        <v/>
      </c>
      <c r="X17">
        <f>IF(AND(Calc!$E$56&lt;&gt;"",Calc!$E$2&lt;&gt;""),IF(V17=0,0,MOD(DEGREES(ATAN2(T17,N17)),360)),"")</f>
        <v/>
      </c>
      <c r="Y17">
        <f>IF(AND(Calc!$E$56&lt;&gt;"",Calc!$E$2&lt;&gt;""),IF(W17=0,0,MOD(DEGREES(ATAN2(U17,Q17)),360)),"")</f>
        <v/>
      </c>
      <c r="Z17">
        <f>IF(AND(Calc!$E$56&lt;&gt;"",Calc!$E$2&lt;&gt;""),IF(V17*W17=0,0,IF((Y17-X17)&gt;180,(Y17-X17)-360,IF((Y17-X17)&lt;-180,(Y17-X17)+360,(Y17-X17)))),"")</f>
        <v/>
      </c>
      <c r="AA17">
        <f>IF(AND(Calc!$E$56&lt;&gt;"",Calc!$E$2&lt;&gt;""),2*SQRT(V17*W17)*SIN(RADIANS(Z17/2)),"")</f>
        <v/>
      </c>
      <c r="AB17">
        <f>IF(AND(Calc!$E$56&lt;&gt;"",Calc!$E$2&lt;&gt;""),(L17+O17)/2,"")</f>
        <v/>
      </c>
      <c r="AC17">
        <f>IF(AND(Calc!$E$56&lt;&gt;"",Calc!$E$2&lt;&gt;""),(V17+W17)/2,"")</f>
        <v/>
      </c>
      <c r="AD17">
        <f>IF(AND(Calc!$E$56&lt;&gt;"",Calc!$E$2&lt;&gt;""),X17+Y17,"")</f>
        <v/>
      </c>
      <c r="AE17">
        <f>IF(AND(Calc!$E$56&lt;&gt;"",Calc!$E$2&lt;&gt;""),IF(V17*W17=0,AD17,IF(ABS(X17-Y17)&gt;180,IF(AD17&lt;360,(AD17+360)/2,(AD17-360)/2),AD17/2)),"")</f>
        <v/>
      </c>
      <c r="AF17">
        <f>IF(AND(Calc!$E$56&lt;&gt;"",Calc!$E$2&lt;&gt;""),1-0.17*COS(RADIANS(AE17-30))+0.24*COS(RADIANS(2*AE17))+0.32*COS(RADIANS(3*AE17+6))-0.2*COS(RADIANS(4*AE17-63)),"")</f>
        <v/>
      </c>
      <c r="AG17">
        <f>IF(AND(Calc!$E$56&lt;&gt;"",Calc!$E$2&lt;&gt;""),2*SQRT(AC17^7/(AC17^7+25^7)),"")</f>
        <v/>
      </c>
      <c r="AH17">
        <f>IF(AND(Calc!$E$56&lt;&gt;"",Calc!$E$2&lt;&gt;""),1+0.015*(AB17-50)^2/SQRT(20+(AB17-50)^2),"")</f>
        <v/>
      </c>
      <c r="AI17">
        <f>IF(AND(Calc!$E$56&lt;&gt;"",Calc!$E$2&lt;&gt;""),1+0.045*AC17,"")</f>
        <v/>
      </c>
      <c r="AJ17">
        <f>IF(AND(Calc!$E$56&lt;&gt;"",Calc!$E$2&lt;&gt;""),1+0.015*AC17*AF17,"")</f>
        <v/>
      </c>
      <c r="AK17">
        <f>IF(AND(Calc!$E$56&lt;&gt;"",Calc!$E$2&lt;&gt;""),-SIN(RADIANS(2*30*EXP(-(((AE17-275)/25)^2))))*AG17,"")</f>
        <v/>
      </c>
    </row>
    <row r="18">
      <c r="A18">
        <f>IF(Spectra!L4="","",Spectra!L4)</f>
        <v/>
      </c>
      <c r="B18" s="6">
        <f>IF(AND(Calc!$E$62&lt;&gt;"",Calc!$E$2&lt;&gt;""),SQRT(((O18-L18)/AH18)^2+((W18-V18)/AI18)^2+(AA18/AJ18)^2+AK18*((W18-V18)/AI18)*(AA18/AJ18)),"")</f>
        <v/>
      </c>
      <c r="C18" s="6">
        <f>IF(OR(Calc!$E$62="",Calc!$E$2=""),"",SQRT((Calc!$T$62-Calc!$T$2)^2+(Calc!$U$62-Calc!$U$2)^2+(Calc!$V$62-Calc!$V$2)^2))</f>
        <v/>
      </c>
      <c r="D18" s="6">
        <f>IF(OR(Calc!$E$63="",Calc!$E$3=""),"",SQRT((Calc!$T$63-Calc!$T$3)^2+(Calc!$U$63-Calc!$U$3)^2+(Calc!$V$63-Calc!$V$3)^2))</f>
        <v/>
      </c>
      <c r="E18" s="6">
        <f>IF(OR(Calc!$E$64="",Calc!$E$4=""),"",SQRT((Calc!$T$64-Calc!$T$4)^2+(Calc!$U$64-Calc!$U$4)^2+(Calc!$V$64-Calc!$V$4)^2))</f>
        <v/>
      </c>
      <c r="F18" s="6">
        <f>IF(OR(Calc!$E$65="",Calc!$E$5=""),"",SQRT((Calc!$T$65-Calc!$T$5)^2+(Calc!$U$65-Calc!$U$5)^2+(Calc!$V$65-Calc!$V$5)^2))</f>
        <v/>
      </c>
      <c r="G18" s="6">
        <f>IF(OR(Calc!$E$66="",Calc!$E$6=""),"",SQRT((Calc!$T$66-Calc!$T$6)^2+(Calc!$U$66-Calc!$U$6)^2+(Calc!$V$66-Calc!$V$6)^2))</f>
        <v/>
      </c>
      <c r="H18" s="6">
        <f>IF(OR(Calc!$E$67="",Calc!$E$7=""),"",SQRT((Calc!$T$67-Calc!$T$7)^2+(Calc!$U$67-Calc!$U$7)^2+(Calc!$V$67-Calc!$V$7)^2))</f>
        <v/>
      </c>
      <c r="L18">
        <f>IF(AND(Calc!$E$62&lt;&gt;"",Calc!$E$2&lt;&gt;""),Calc!$Z$2,"")</f>
        <v/>
      </c>
      <c r="M18">
        <f>IF(AND(Calc!$E$62&lt;&gt;"",Calc!$E$2&lt;&gt;""),Calc!$AA$2,"")</f>
        <v/>
      </c>
      <c r="N18">
        <f>IF(AND(Calc!$E$62&lt;&gt;"",Calc!$E$2&lt;&gt;""),Calc!$AB$2,"")</f>
        <v/>
      </c>
      <c r="O18">
        <f>IF(AND(Calc!$E$62&lt;&gt;"",Calc!$E$2&lt;&gt;""),Calc!$Z$62,"")</f>
        <v/>
      </c>
      <c r="P18">
        <f>IF(AND(Calc!$E$62&lt;&gt;"",Calc!$E$2&lt;&gt;""),Calc!$AA$62,"")</f>
        <v/>
      </c>
      <c r="Q18">
        <f>IF(AND(Calc!$E$62&lt;&gt;"",Calc!$E$2&lt;&gt;""),Calc!$AB$62,"")</f>
        <v/>
      </c>
      <c r="R18">
        <f>IF(AND(Calc!$E$62&lt;&gt;"",Calc!$E$2&lt;&gt;""),(SQRT(M18^2+N18^2)+SQRT(P18^2+Q18^2))/2,"")</f>
        <v/>
      </c>
      <c r="S18">
        <f>IF(AND(Calc!$E$62&lt;&gt;"",Calc!$E$2&lt;&gt;""),0.5*(1-SQRT(R18^7/(R18^7+25^7))),"")</f>
        <v/>
      </c>
      <c r="T18">
        <f>IF(AND(Calc!$E$62&lt;&gt;"",Calc!$E$2&lt;&gt;""),(1+S18)*M18,"")</f>
        <v/>
      </c>
      <c r="U18">
        <f>IF(AND(Calc!$E$62&lt;&gt;"",Calc!$E$2&lt;&gt;""),(1+S18)*P18,"")</f>
        <v/>
      </c>
      <c r="V18">
        <f>IF(AND(Calc!$E$62&lt;&gt;"",Calc!$E$2&lt;&gt;""),SQRT(T18^2+N18^2),"")</f>
        <v/>
      </c>
      <c r="W18">
        <f>IF(AND(Calc!$E$62&lt;&gt;"",Calc!$E$2&lt;&gt;""),SQRT(U18^2+Q18^2),"")</f>
        <v/>
      </c>
      <c r="X18">
        <f>IF(AND(Calc!$E$62&lt;&gt;"",Calc!$E$2&lt;&gt;""),IF(V18=0,0,MOD(DEGREES(ATAN2(T18,N18)),360)),"")</f>
        <v/>
      </c>
      <c r="Y18">
        <f>IF(AND(Calc!$E$62&lt;&gt;"",Calc!$E$2&lt;&gt;""),IF(W18=0,0,MOD(DEGREES(ATAN2(U18,Q18)),360)),"")</f>
        <v/>
      </c>
      <c r="Z18">
        <f>IF(AND(Calc!$E$62&lt;&gt;"",Calc!$E$2&lt;&gt;""),IF(V18*W18=0,0,IF((Y18-X18)&gt;180,(Y18-X18)-360,IF((Y18-X18)&lt;-180,(Y18-X18)+360,(Y18-X18)))),"")</f>
        <v/>
      </c>
      <c r="AA18">
        <f>IF(AND(Calc!$E$62&lt;&gt;"",Calc!$E$2&lt;&gt;""),2*SQRT(V18*W18)*SIN(RADIANS(Z18/2)),"")</f>
        <v/>
      </c>
      <c r="AB18">
        <f>IF(AND(Calc!$E$62&lt;&gt;"",Calc!$E$2&lt;&gt;""),(L18+O18)/2,"")</f>
        <v/>
      </c>
      <c r="AC18">
        <f>IF(AND(Calc!$E$62&lt;&gt;"",Calc!$E$2&lt;&gt;""),(V18+W18)/2,"")</f>
        <v/>
      </c>
      <c r="AD18">
        <f>IF(AND(Calc!$E$62&lt;&gt;"",Calc!$E$2&lt;&gt;""),X18+Y18,"")</f>
        <v/>
      </c>
      <c r="AE18">
        <f>IF(AND(Calc!$E$62&lt;&gt;"",Calc!$E$2&lt;&gt;""),IF(V18*W18=0,AD18,IF(ABS(X18-Y18)&gt;180,IF(AD18&lt;360,(AD18+360)/2,(AD18-360)/2),AD18/2)),"")</f>
        <v/>
      </c>
      <c r="AF18">
        <f>IF(AND(Calc!$E$62&lt;&gt;"",Calc!$E$2&lt;&gt;""),1-0.17*COS(RADIANS(AE18-30))+0.24*COS(RADIANS(2*AE18))+0.32*COS(RADIANS(3*AE18+6))-0.2*COS(RADIANS(4*AE18-63)),"")</f>
        <v/>
      </c>
      <c r="AG18">
        <f>IF(AND(Calc!$E$62&lt;&gt;"",Calc!$E$2&lt;&gt;""),2*SQRT(AC18^7/(AC18^7+25^7)),"")</f>
        <v/>
      </c>
      <c r="AH18">
        <f>IF(AND(Calc!$E$62&lt;&gt;"",Calc!$E$2&lt;&gt;""),1+0.015*(AB18-50)^2/SQRT(20+(AB18-50)^2),"")</f>
        <v/>
      </c>
      <c r="AI18">
        <f>IF(AND(Calc!$E$62&lt;&gt;"",Calc!$E$2&lt;&gt;""),1+0.045*AC18,"")</f>
        <v/>
      </c>
      <c r="AJ18">
        <f>IF(AND(Calc!$E$62&lt;&gt;"",Calc!$E$2&lt;&gt;""),1+0.015*AC18*AF18,"")</f>
        <v/>
      </c>
      <c r="AK18">
        <f>IF(AND(Calc!$E$62&lt;&gt;"",Calc!$E$2&lt;&gt;""),-SIN(RADIANS(2*30*EXP(-(((AE18-275)/25)^2))))*AG18,"")</f>
        <v/>
      </c>
    </row>
    <row r="21">
      <c r="A21" t="inlineStr">
        <is>
          <t>For your own lights (a particular store LED, say), paste their spectra on the Custom lights sheet; they then appear in the list of conditions.</t>
        </is>
      </c>
    </row>
    <row r="22">
      <c r="A22" t="inlineStr">
        <is>
          <t>WLab differences are material color differences; they correspond to perceived differences under a reference observing condition, like DeltaE00. WLab is not a color appearance space.</t>
        </is>
      </c>
    </row>
  </sheetData>
  <dataValidations count="1">
    <dataValidation sqref="C6 D6 E6 F6 G6 H6" showDropDown="0" showInputMessage="0" showErrorMessage="0" allowBlank="1" type="list">
      <formula1>=Matrices!$A$2:$A$17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t="inlineStr">
        <is>
          <t>Paste spectral reflectance here: 380 to 730 nm every 10 nm, as fractions (0 to 1) or percent (0 to 100).</t>
        </is>
      </c>
    </row>
    <row r="2">
      <c r="A2" t="inlineStr">
        <is>
          <t>Column B is the standard; columns C to L are the samples. Put names in row 4. If your instrument starts at 400 nm, repeat the 400 value at 380 and 390.</t>
        </is>
      </c>
    </row>
    <row r="4">
      <c r="A4" s="2" t="inlineStr">
        <is>
          <t>nm</t>
        </is>
      </c>
      <c r="B4" s="7" t="inlineStr">
        <is>
          <t>Brand red standard (5R 5/6)</t>
        </is>
      </c>
      <c r="C4" s="7" t="inlineStr">
        <is>
          <t>Submission 1 (smooth)</t>
        </is>
      </c>
      <c r="D4" s="7" t="inlineStr">
        <is>
          <t>Submission 2 (jagged)</t>
        </is>
      </c>
      <c r="E4" s="7" t="inlineStr">
        <is>
          <t>Sample 3</t>
        </is>
      </c>
      <c r="F4" s="7" t="inlineStr">
        <is>
          <t>Sample 4</t>
        </is>
      </c>
      <c r="G4" s="7" t="inlineStr">
        <is>
          <t>Sample 5</t>
        </is>
      </c>
      <c r="H4" s="7" t="inlineStr">
        <is>
          <t>Sample 6</t>
        </is>
      </c>
      <c r="I4" s="7" t="inlineStr">
        <is>
          <t>Sample 7</t>
        </is>
      </c>
      <c r="J4" s="7" t="inlineStr">
        <is>
          <t>Sample 8</t>
        </is>
      </c>
      <c r="K4" s="7" t="inlineStr">
        <is>
          <t>Sample 9</t>
        </is>
      </c>
      <c r="L4" s="7" t="inlineStr">
        <is>
          <t>Sample 10</t>
        </is>
      </c>
      <c r="N4" s="2" t="inlineStr">
        <is>
          <t>Scale</t>
        </is>
      </c>
    </row>
    <row r="5">
      <c r="A5" t="n">
        <v>380</v>
      </c>
      <c r="B5" s="3" t="n">
        <v>0.11796</v>
      </c>
      <c r="C5" s="3" t="n">
        <v>0.11792</v>
      </c>
      <c r="D5" s="3" t="n">
        <v>0.11796</v>
      </c>
      <c r="E5" s="3" t="n"/>
      <c r="F5" s="3" t="n"/>
      <c r="G5" s="3" t="n"/>
      <c r="H5" s="3" t="n"/>
      <c r="I5" s="3" t="n"/>
      <c r="J5" s="3" t="n"/>
      <c r="K5" s="3" t="n"/>
      <c r="L5" s="3" t="n"/>
      <c r="N5">
        <f>IF(MAX(B5:L40)&gt;1.5,100,1)</f>
        <v/>
      </c>
    </row>
    <row r="6">
      <c r="A6" t="n">
        <v>390</v>
      </c>
      <c r="B6" s="3" t="n">
        <v>0.12925</v>
      </c>
      <c r="C6" s="3" t="n">
        <v>0.13531</v>
      </c>
      <c r="D6" s="3" t="n">
        <v>0.22305</v>
      </c>
      <c r="E6" s="3" t="n"/>
      <c r="F6" s="3" t="n"/>
      <c r="G6" s="3" t="n"/>
      <c r="H6" s="3" t="n"/>
      <c r="I6" s="3" t="n"/>
      <c r="J6" s="3" t="n"/>
      <c r="K6" s="3" t="n"/>
      <c r="L6" s="3" t="n"/>
      <c r="N6" t="inlineStr">
        <is>
          <t>(100 if the data look like percent)</t>
        </is>
      </c>
    </row>
    <row r="7">
      <c r="A7" t="n">
        <v>400</v>
      </c>
      <c r="B7" s="3" t="n">
        <v>0.14565</v>
      </c>
      <c r="C7" s="3" t="n">
        <v>0.15707</v>
      </c>
      <c r="D7" s="3" t="n">
        <v>0.26253</v>
      </c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t="n">
        <v>410</v>
      </c>
      <c r="B8" s="3" t="n">
        <v>0.14825</v>
      </c>
      <c r="C8" s="3" t="n">
        <v>0.16294</v>
      </c>
      <c r="D8" s="3" t="n">
        <v>0.19991</v>
      </c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t="n">
        <v>420</v>
      </c>
      <c r="B9" s="3" t="n">
        <v>0.14569</v>
      </c>
      <c r="C9" s="3" t="n">
        <v>0.15824</v>
      </c>
      <c r="D9" s="3" t="n">
        <v>0.09235</v>
      </c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t="n">
        <v>430</v>
      </c>
      <c r="B10" s="3" t="n">
        <v>0.14305</v>
      </c>
      <c r="C10" s="3" t="n">
        <v>0.14861</v>
      </c>
      <c r="D10" s="3" t="n">
        <v>0.02345</v>
      </c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t="n">
        <v>440</v>
      </c>
      <c r="B11" s="3" t="n">
        <v>0.14183</v>
      </c>
      <c r="C11" s="3" t="n">
        <v>0.13804</v>
      </c>
      <c r="D11" s="3" t="n">
        <v>0.04394</v>
      </c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t="n">
        <v>450</v>
      </c>
      <c r="B12" s="3" t="n">
        <v>0.14016</v>
      </c>
      <c r="C12" s="3" t="n">
        <v>0.13154</v>
      </c>
      <c r="D12" s="3" t="n">
        <v>0.13535</v>
      </c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t="n">
        <v>460</v>
      </c>
      <c r="B13" s="3" t="n">
        <v>0.13801</v>
      </c>
      <c r="C13" s="3" t="n">
        <v>0.1304</v>
      </c>
      <c r="D13" s="3" t="n">
        <v>0.22714</v>
      </c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t="n">
        <v>470</v>
      </c>
      <c r="B14" s="3" t="n">
        <v>0.13623</v>
      </c>
      <c r="C14" s="3" t="n">
        <v>0.13626</v>
      </c>
      <c r="D14" s="3" t="n">
        <v>0.2495</v>
      </c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t="n">
        <v>480</v>
      </c>
      <c r="B15" s="3" t="n">
        <v>0.13284</v>
      </c>
      <c r="C15" s="3" t="n">
        <v>0.14183</v>
      </c>
      <c r="D15" s="3" t="n">
        <v>0.18239</v>
      </c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t="n">
        <v>490</v>
      </c>
      <c r="B16" s="3" t="n">
        <v>0.12803</v>
      </c>
      <c r="C16" s="3" t="n">
        <v>0.14286</v>
      </c>
      <c r="D16" s="3" t="n">
        <v>0.07437000000000001</v>
      </c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t="n">
        <v>500</v>
      </c>
      <c r="B17" s="3" t="n">
        <v>0.12475</v>
      </c>
      <c r="C17" s="3" t="n">
        <v>0.13779</v>
      </c>
      <c r="D17" s="3" t="n">
        <v>0.00648</v>
      </c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t="n">
        <v>510</v>
      </c>
      <c r="B18" s="3" t="n">
        <v>0.12302</v>
      </c>
      <c r="C18" s="3" t="n">
        <v>0.12961</v>
      </c>
      <c r="D18" s="3" t="n">
        <v>0.02787</v>
      </c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t="n">
        <v>520</v>
      </c>
      <c r="B19" s="3" t="n">
        <v>0.12111</v>
      </c>
      <c r="C19" s="3" t="n">
        <v>0.1203</v>
      </c>
      <c r="D19" s="3" t="n">
        <v>0.11947</v>
      </c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t="n">
        <v>530</v>
      </c>
      <c r="B20" s="3" t="n">
        <v>0.11927</v>
      </c>
      <c r="C20" s="3" t="n">
        <v>0.11255</v>
      </c>
      <c r="D20" s="3" t="n">
        <v>0.21095</v>
      </c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t="n">
        <v>540</v>
      </c>
      <c r="B21" s="3" t="n">
        <v>0.11991</v>
      </c>
      <c r="C21" s="3" t="n">
        <v>0.11152</v>
      </c>
      <c r="D21" s="3" t="n">
        <v>0.23433</v>
      </c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t="n">
        <v>550</v>
      </c>
      <c r="B22" s="3" t="n">
        <v>0.12765</v>
      </c>
      <c r="C22" s="3" t="n">
        <v>0.11987</v>
      </c>
      <c r="D22" s="3" t="n">
        <v>0.1767</v>
      </c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t="n">
        <v>560</v>
      </c>
      <c r="B23" s="3" t="n">
        <v>0.15328</v>
      </c>
      <c r="C23" s="3" t="n">
        <v>0.14893</v>
      </c>
      <c r="D23" s="3" t="n">
        <v>0.09785000000000001</v>
      </c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t="n">
        <v>570</v>
      </c>
      <c r="B24" s="3" t="n">
        <v>0.19349</v>
      </c>
      <c r="C24" s="3" t="n">
        <v>0.19424</v>
      </c>
      <c r="D24" s="3" t="n">
        <v>0.07285999999999999</v>
      </c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t="n">
        <v>580</v>
      </c>
      <c r="B25" s="3" t="n">
        <v>0.24695</v>
      </c>
      <c r="C25" s="3" t="n">
        <v>0.25333</v>
      </c>
      <c r="D25" s="3" t="n">
        <v>0.14925</v>
      </c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t="n">
        <v>590</v>
      </c>
      <c r="B26" s="3" t="n">
        <v>0.30571</v>
      </c>
      <c r="C26" s="3" t="n">
        <v>0.31631</v>
      </c>
      <c r="D26" s="3" t="n">
        <v>0.30189</v>
      </c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t="n">
        <v>600</v>
      </c>
      <c r="B27" s="3" t="n">
        <v>0.34299</v>
      </c>
      <c r="C27" s="3" t="n">
        <v>0.35578</v>
      </c>
      <c r="D27" s="3" t="n">
        <v>0.43302</v>
      </c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t="n">
        <v>610</v>
      </c>
      <c r="B28" s="3" t="n">
        <v>0.3595</v>
      </c>
      <c r="C28" s="3" t="n">
        <v>0.36992</v>
      </c>
      <c r="D28" s="3" t="n">
        <v>0.47302</v>
      </c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t="n">
        <v>620</v>
      </c>
      <c r="B29" s="3" t="n">
        <v>0.3669</v>
      </c>
      <c r="C29" s="3" t="n">
        <v>0.36997</v>
      </c>
      <c r="D29" s="3" t="n">
        <v>0.4161</v>
      </c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t="n">
        <v>630</v>
      </c>
      <c r="B30" s="3" t="n">
        <v>0.36711</v>
      </c>
      <c r="C30" s="3" t="n">
        <v>0.35959</v>
      </c>
      <c r="D30" s="3" t="n">
        <v>0.31296</v>
      </c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t="n">
        <v>640</v>
      </c>
      <c r="B31" s="3" t="n">
        <v>0.36802</v>
      </c>
      <c r="C31" s="3" t="n">
        <v>0.35086</v>
      </c>
      <c r="D31" s="3" t="n">
        <v>0.24957</v>
      </c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t="n">
        <v>650</v>
      </c>
      <c r="B32" s="3" t="n">
        <v>0.36737</v>
      </c>
      <c r="C32" s="3" t="n">
        <v>0.34144</v>
      </c>
      <c r="D32" s="3" t="n">
        <v>0.27265</v>
      </c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t="n">
        <v>660</v>
      </c>
      <c r="B33" s="3" t="n">
        <v>0.36757</v>
      </c>
      <c r="C33" s="3" t="n">
        <v>0.33537</v>
      </c>
      <c r="D33" s="3" t="n">
        <v>0.36704</v>
      </c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t="n">
        <v>670</v>
      </c>
      <c r="B34" s="3" t="n">
        <v>0.36773</v>
      </c>
      <c r="C34" s="3" t="n">
        <v>0.33149</v>
      </c>
      <c r="D34" s="3" t="n">
        <v>0.46125</v>
      </c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t="n">
        <v>680</v>
      </c>
      <c r="B35" s="3" t="n">
        <v>0.36651</v>
      </c>
      <c r="C35" s="3" t="n">
        <v>0.32819</v>
      </c>
      <c r="D35" s="3" t="n">
        <v>0.48335</v>
      </c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t="n">
        <v>690</v>
      </c>
      <c r="B36" s="3" t="n">
        <v>0.36629</v>
      </c>
      <c r="C36" s="3" t="n">
        <v>0.32755</v>
      </c>
      <c r="D36" s="3" t="n">
        <v>0.41829</v>
      </c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t="n">
        <v>700</v>
      </c>
      <c r="B37" s="3" t="n">
        <v>0.36597</v>
      </c>
      <c r="C37" s="3" t="n">
        <v>0.32831</v>
      </c>
      <c r="D37" s="3" t="n">
        <v>0.31387</v>
      </c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t="n">
        <v>710</v>
      </c>
      <c r="B38" s="3" t="n">
        <v>0.36582</v>
      </c>
      <c r="C38" s="3" t="n">
        <v>0.33038</v>
      </c>
      <c r="D38" s="3" t="n">
        <v>0.24881</v>
      </c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t="n">
        <v>720</v>
      </c>
      <c r="B39" s="3" t="n">
        <v>0.36572</v>
      </c>
      <c r="C39" s="3" t="n">
        <v>0.33344</v>
      </c>
      <c r="D39" s="3" t="n">
        <v>0.27189</v>
      </c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t="n">
        <v>730</v>
      </c>
      <c r="B40" s="3" t="n">
        <v>0.3649</v>
      </c>
      <c r="C40" s="3" t="n">
        <v>0.33671</v>
      </c>
      <c r="D40" s="3" t="n">
        <v>0.3649</v>
      </c>
      <c r="E40" s="3" t="n"/>
      <c r="F40" s="3" t="n"/>
      <c r="G40" s="3" t="n"/>
      <c r="H40" s="3" t="n"/>
      <c r="I40" s="3" t="n"/>
      <c r="J40" s="3" t="n"/>
      <c r="K40" s="3" t="n"/>
      <c r="L4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Weights: X = sum over wavelength of weight x reflectance, for each condition (white Y = 100).</t>
        </is>
      </c>
    </row>
    <row r="2">
      <c r="A2" t="inlineStr">
        <is>
          <t>Reflectance is used on 380-730 nm at 10 nm, interpolated to 5 nm and held constant beyond 730 nm.</t>
        </is>
      </c>
    </row>
    <row r="3">
      <c r="B3" t="inlineStr">
        <is>
          <t>CIE 1931 2deg C</t>
        </is>
      </c>
      <c r="E3" t="inlineStr">
        <is>
          <t>CIE 1931 2deg D50</t>
        </is>
      </c>
      <c r="H3" t="inlineStr">
        <is>
          <t>CIE 1931 2deg D65</t>
        </is>
      </c>
      <c r="K3" t="inlineStr">
        <is>
          <t>CIE 1931 2deg A</t>
        </is>
      </c>
      <c r="N3" t="inlineStr">
        <is>
          <t>CIE 1931 2deg E</t>
        </is>
      </c>
      <c r="Q3" t="inlineStr">
        <is>
          <t>CIE 1931 2deg F2</t>
        </is>
      </c>
      <c r="T3" t="inlineStr">
        <is>
          <t>CIE 1931 2deg F11</t>
        </is>
      </c>
      <c r="W3" t="inlineStr">
        <is>
          <t>CIE 1964 10deg C</t>
        </is>
      </c>
      <c r="Z3" t="inlineStr">
        <is>
          <t>CIE 1964 10deg D50</t>
        </is>
      </c>
      <c r="AC3" t="inlineStr">
        <is>
          <t>CIE 1964 10deg D65</t>
        </is>
      </c>
      <c r="AF3" t="inlineStr">
        <is>
          <t>CIE 1964 10deg A</t>
        </is>
      </c>
      <c r="AI3" t="inlineStr">
        <is>
          <t>CIE 1964 10deg E</t>
        </is>
      </c>
      <c r="AL3" t="inlineStr">
        <is>
          <t>CIE 1964 10deg F2</t>
        </is>
      </c>
      <c r="AO3" t="inlineStr">
        <is>
          <t>CIE 1964 10deg F11</t>
        </is>
      </c>
      <c r="AR3">
        <f>IF(COUNT('Custom lights'!$B$8:$B$88)&gt;0,'Custom lights'!$B$4,"")</f>
        <v/>
      </c>
      <c r="AU3">
        <f>IF(COUNT('Custom lights'!$C$8:$C$88)&gt;0,'Custom lights'!$C$4,"")</f>
        <v/>
      </c>
    </row>
    <row r="4">
      <c r="A4" s="2" t="inlineStr">
        <is>
          <t>nm</t>
        </is>
      </c>
      <c r="B4" s="2" t="inlineStr">
        <is>
          <t>X</t>
        </is>
      </c>
      <c r="C4" s="2" t="inlineStr">
        <is>
          <t>Y</t>
        </is>
      </c>
      <c r="D4" s="2" t="inlineStr">
        <is>
          <t>Z</t>
        </is>
      </c>
      <c r="E4" s="2" t="inlineStr">
        <is>
          <t>X</t>
        </is>
      </c>
      <c r="F4" s="2" t="inlineStr">
        <is>
          <t>Y</t>
        </is>
      </c>
      <c r="G4" s="2" t="inlineStr">
        <is>
          <t>Z</t>
        </is>
      </c>
      <c r="H4" s="2" t="inlineStr">
        <is>
          <t>X</t>
        </is>
      </c>
      <c r="I4" s="2" t="inlineStr">
        <is>
          <t>Y</t>
        </is>
      </c>
      <c r="J4" s="2" t="inlineStr">
        <is>
          <t>Z</t>
        </is>
      </c>
      <c r="K4" s="2" t="inlineStr">
        <is>
          <t>X</t>
        </is>
      </c>
      <c r="L4" s="2" t="inlineStr">
        <is>
          <t>Y</t>
        </is>
      </c>
      <c r="M4" s="2" t="inlineStr">
        <is>
          <t>Z</t>
        </is>
      </c>
      <c r="N4" s="2" t="inlineStr">
        <is>
          <t>X</t>
        </is>
      </c>
      <c r="O4" s="2" t="inlineStr">
        <is>
          <t>Y</t>
        </is>
      </c>
      <c r="P4" s="2" t="inlineStr">
        <is>
          <t>Z</t>
        </is>
      </c>
      <c r="Q4" s="2" t="inlineStr">
        <is>
          <t>X</t>
        </is>
      </c>
      <c r="R4" s="2" t="inlineStr">
        <is>
          <t>Y</t>
        </is>
      </c>
      <c r="S4" s="2" t="inlineStr">
        <is>
          <t>Z</t>
        </is>
      </c>
      <c r="T4" s="2" t="inlineStr">
        <is>
          <t>X</t>
        </is>
      </c>
      <c r="U4" s="2" t="inlineStr">
        <is>
          <t>Y</t>
        </is>
      </c>
      <c r="V4" s="2" t="inlineStr">
        <is>
          <t>Z</t>
        </is>
      </c>
      <c r="W4" s="2" t="inlineStr">
        <is>
          <t>X</t>
        </is>
      </c>
      <c r="X4" s="2" t="inlineStr">
        <is>
          <t>Y</t>
        </is>
      </c>
      <c r="Y4" s="2" t="inlineStr">
        <is>
          <t>Z</t>
        </is>
      </c>
      <c r="Z4" s="2" t="inlineStr">
        <is>
          <t>X</t>
        </is>
      </c>
      <c r="AA4" s="2" t="inlineStr">
        <is>
          <t>Y</t>
        </is>
      </c>
      <c r="AB4" s="2" t="inlineStr">
        <is>
          <t>Z</t>
        </is>
      </c>
      <c r="AC4" s="2" t="inlineStr">
        <is>
          <t>X</t>
        </is>
      </c>
      <c r="AD4" s="2" t="inlineStr">
        <is>
          <t>Y</t>
        </is>
      </c>
      <c r="AE4" s="2" t="inlineStr">
        <is>
          <t>Z</t>
        </is>
      </c>
      <c r="AF4" s="2" t="inlineStr">
        <is>
          <t>X</t>
        </is>
      </c>
      <c r="AG4" s="2" t="inlineStr">
        <is>
          <t>Y</t>
        </is>
      </c>
      <c r="AH4" s="2" t="inlineStr">
        <is>
          <t>Z</t>
        </is>
      </c>
      <c r="AI4" s="2" t="inlineStr">
        <is>
          <t>X</t>
        </is>
      </c>
      <c r="AJ4" s="2" t="inlineStr">
        <is>
          <t>Y</t>
        </is>
      </c>
      <c r="AK4" s="2" t="inlineStr">
        <is>
          <t>Z</t>
        </is>
      </c>
      <c r="AL4" s="2" t="inlineStr">
        <is>
          <t>X</t>
        </is>
      </c>
      <c r="AM4" s="2" t="inlineStr">
        <is>
          <t>Y</t>
        </is>
      </c>
      <c r="AN4" s="2" t="inlineStr">
        <is>
          <t>Z</t>
        </is>
      </c>
      <c r="AO4" s="2" t="inlineStr">
        <is>
          <t>X</t>
        </is>
      </c>
      <c r="AP4" s="2" t="inlineStr">
        <is>
          <t>Y</t>
        </is>
      </c>
      <c r="AQ4" s="2" t="inlineStr">
        <is>
          <t>Z</t>
        </is>
      </c>
      <c r="AR4" s="2" t="inlineStr">
        <is>
          <t>X</t>
        </is>
      </c>
      <c r="AS4" s="2" t="inlineStr">
        <is>
          <t>Y</t>
        </is>
      </c>
      <c r="AT4" s="2" t="inlineStr">
        <is>
          <t>Z</t>
        </is>
      </c>
      <c r="AU4" s="2" t="inlineStr">
        <is>
          <t>X</t>
        </is>
      </c>
      <c r="AV4" s="2" t="inlineStr">
        <is>
          <t>Y</t>
        </is>
      </c>
      <c r="AW4" s="2" t="inlineStr">
        <is>
          <t>Z</t>
        </is>
      </c>
    </row>
    <row r="5">
      <c r="A5" t="n">
        <v>380</v>
      </c>
      <c r="B5" t="n">
        <v>0.00421600066738832</v>
      </c>
      <c r="C5" t="n">
        <v>0.0001204314535373641</v>
      </c>
      <c r="D5" t="n">
        <v>0.01988506243406708</v>
      </c>
      <c r="E5" t="n">
        <v>0.003037223912196073</v>
      </c>
      <c r="F5" t="n">
        <v>8.675188183543484e-05</v>
      </c>
      <c r="G5" t="n">
        <v>0.01432506171317855</v>
      </c>
      <c r="H5" t="n">
        <v>0.006002071458468506</v>
      </c>
      <c r="I5" t="n">
        <v>0.0001714265117565106</v>
      </c>
      <c r="J5" t="n">
        <v>0.02830846807140486</v>
      </c>
      <c r="K5" t="n">
        <v>0.001185662016069764</v>
      </c>
      <c r="L5" t="n">
        <v>3.386601333212143e-05</v>
      </c>
      <c r="M5" t="n">
        <v>0.005592175453108679</v>
      </c>
      <c r="N5" t="n">
        <v>0.01163240822621824</v>
      </c>
      <c r="O5" t="n">
        <v>0.0003322208302741332</v>
      </c>
      <c r="P5" t="n">
        <v>0.05486322866146778</v>
      </c>
      <c r="Q5" t="n">
        <v>0.001116284493034732</v>
      </c>
      <c r="R5" t="n">
        <v>3.188818370805391e-05</v>
      </c>
      <c r="S5" t="n">
        <v>0.005265067642008729</v>
      </c>
      <c r="T5" t="n">
        <v>0.0006656423424688457</v>
      </c>
      <c r="U5" t="n">
        <v>1.900400999291576e-05</v>
      </c>
      <c r="V5" t="n">
        <v>0.003139247311093915</v>
      </c>
      <c r="W5" t="n">
        <v>0.0007870866559206472</v>
      </c>
      <c r="X5" t="n">
        <v>8.50402513382073e-05</v>
      </c>
      <c r="Y5" t="n">
        <v>0.003477498174039638</v>
      </c>
      <c r="Z5" t="n">
        <v>0.0005656859143789814</v>
      </c>
      <c r="AA5" t="n">
        <v>6.109377674212864e-05</v>
      </c>
      <c r="AB5" t="n">
        <v>0.00249913881421987</v>
      </c>
      <c r="AC5" t="n">
        <v>0.001089087236467109</v>
      </c>
      <c r="AD5" t="n">
        <v>0.0001175865447041563</v>
      </c>
      <c r="AE5" t="n">
        <v>0.004811240694774404</v>
      </c>
      <c r="AF5" t="n">
        <v>0.000227389272944602</v>
      </c>
      <c r="AG5" t="n">
        <v>2.45582203669333e-05</v>
      </c>
      <c r="AH5" t="n">
        <v>0.001004583062507369</v>
      </c>
      <c r="AI5" t="n">
        <v>0.002104402719076895</v>
      </c>
      <c r="AJ5" t="n">
        <v>0.0002271554869879337</v>
      </c>
      <c r="AK5" t="n">
        <v>0.00929623115616657</v>
      </c>
      <c r="AL5" t="n">
        <v>0.0002191694436041428</v>
      </c>
      <c r="AM5" t="n">
        <v>2.368404401769292e-05</v>
      </c>
      <c r="AN5" t="n">
        <v>0.0009683589865330563</v>
      </c>
      <c r="AO5" t="n">
        <v>0.000114507966418379</v>
      </c>
      <c r="AP5" t="n">
        <v>1.233580583079988e-05</v>
      </c>
      <c r="AQ5" t="n">
        <v>0.0005056775010383488</v>
      </c>
      <c r="AR5">
        <f>Custom1!$AV$5</f>
        <v/>
      </c>
      <c r="AS5">
        <f>Custom1!$AW$5</f>
        <v/>
      </c>
      <c r="AT5">
        <f>Custom1!$AX$5</f>
        <v/>
      </c>
      <c r="AU5">
        <f>Custom2!$AV$5</f>
        <v/>
      </c>
      <c r="AV5">
        <f>Custom2!$AW$5</f>
        <v/>
      </c>
      <c r="AW5">
        <f>Custom2!$AX$5</f>
        <v/>
      </c>
    </row>
    <row r="6">
      <c r="A6" t="n">
        <v>390</v>
      </c>
      <c r="B6" t="n">
        <v>0.0214510606457513</v>
      </c>
      <c r="C6" t="n">
        <v>0.0006082240648531507</v>
      </c>
      <c r="D6" t="n">
        <v>0.1014287547054072</v>
      </c>
      <c r="E6" t="n">
        <v>0.01467107468430969</v>
      </c>
      <c r="F6" t="n">
        <v>0.0004160234767592693</v>
      </c>
      <c r="G6" t="n">
        <v>0.0693736663555455</v>
      </c>
      <c r="H6" t="n">
        <v>0.02617231761883931</v>
      </c>
      <c r="I6" t="n">
        <v>0.000742191090601248</v>
      </c>
      <c r="J6" t="n">
        <v>0.123753847286626</v>
      </c>
      <c r="K6" t="n">
        <v>0.005308107837786892</v>
      </c>
      <c r="L6" t="n">
        <v>0.0001505147845284895</v>
      </c>
      <c r="M6" t="n">
        <v>0.02509774411372667</v>
      </c>
      <c r="N6" t="n">
        <v>0.04298282460419983</v>
      </c>
      <c r="O6" t="n">
        <v>0.001218922905442418</v>
      </c>
      <c r="P6" t="n">
        <v>0.2032162064620508</v>
      </c>
      <c r="Q6" t="n">
        <v>0.006039395929006474</v>
      </c>
      <c r="R6" t="n">
        <v>0.0001712342192937247</v>
      </c>
      <c r="S6" t="n">
        <v>0.02855687931612852</v>
      </c>
      <c r="T6" t="n">
        <v>0.001390338834948023</v>
      </c>
      <c r="U6" t="n">
        <v>3.944399234917763e-05</v>
      </c>
      <c r="V6" t="n">
        <v>0.006572040839436894</v>
      </c>
      <c r="W6" t="n">
        <v>0.0138296123536942</v>
      </c>
      <c r="X6" t="n">
        <v>0.001474375973067021</v>
      </c>
      <c r="Y6" t="n">
        <v>0.06160574538495366</v>
      </c>
      <c r="Z6" t="n">
        <v>0.009764971780542392</v>
      </c>
      <c r="AA6" t="n">
        <v>0.001040782959723992</v>
      </c>
      <c r="AB6" t="n">
        <v>0.04350719967184499</v>
      </c>
      <c r="AC6" t="n">
        <v>0.01700294145458871</v>
      </c>
      <c r="AD6" t="n">
        <v>0.00181254091757082</v>
      </c>
      <c r="AE6" t="n">
        <v>0.0757480670604475</v>
      </c>
      <c r="AF6" t="n">
        <v>0.003537580454517944</v>
      </c>
      <c r="AG6" t="n">
        <v>0.0003772123104685335</v>
      </c>
      <c r="AH6" t="n">
        <v>0.01575695636760216</v>
      </c>
      <c r="AI6" t="n">
        <v>0.02706150461965685</v>
      </c>
      <c r="AJ6" t="n">
        <v>0.002886589065780629</v>
      </c>
      <c r="AK6" t="n">
        <v>0.1205124147759758</v>
      </c>
      <c r="AL6" t="n">
        <v>0.004075796629290214</v>
      </c>
      <c r="AM6" t="n">
        <v>0.0004345008061726941</v>
      </c>
      <c r="AN6" t="n">
        <v>0.01815649686970761</v>
      </c>
      <c r="AO6" t="n">
        <v>0.0008519692770408423</v>
      </c>
      <c r="AP6" t="n">
        <v>9.096646331192073e-05</v>
      </c>
      <c r="AQ6" t="n">
        <v>0.003792146351920186</v>
      </c>
      <c r="AR6">
        <f>Custom1!$AV$6</f>
        <v/>
      </c>
      <c r="AS6">
        <f>Custom1!$AW$6</f>
        <v/>
      </c>
      <c r="AT6">
        <f>Custom1!$AX$6</f>
        <v/>
      </c>
      <c r="AU6">
        <f>Custom2!$AV$6</f>
        <v/>
      </c>
      <c r="AV6">
        <f>Custom2!$AW$6</f>
        <v/>
      </c>
      <c r="AW6">
        <f>Custom2!$AX$6</f>
        <v/>
      </c>
    </row>
    <row r="7">
      <c r="A7" t="n">
        <v>400</v>
      </c>
      <c r="B7" t="n">
        <v>0.09155189292226719</v>
      </c>
      <c r="C7" t="n">
        <v>0.002537452883982823</v>
      </c>
      <c r="D7" t="n">
        <v>0.4344222591040068</v>
      </c>
      <c r="E7" t="n">
        <v>0.06992578194613609</v>
      </c>
      <c r="F7" t="n">
        <v>0.001937859550091864</v>
      </c>
      <c r="G7" t="n">
        <v>0.3317999991391161</v>
      </c>
      <c r="H7" t="n">
        <v>0.1162630361895151</v>
      </c>
      <c r="I7" t="n">
        <v>0.003222381490488549</v>
      </c>
      <c r="J7" t="n">
        <v>0.5516604296262302</v>
      </c>
      <c r="K7" t="n">
        <v>0.02079738999902656</v>
      </c>
      <c r="L7" t="n">
        <v>0.0005765163235556636</v>
      </c>
      <c r="M7" t="n">
        <v>0.09868242860954098</v>
      </c>
      <c r="N7" t="n">
        <v>0.1391116237190138</v>
      </c>
      <c r="O7" t="n">
        <v>0.003857972881141167</v>
      </c>
      <c r="P7" t="n">
        <v>0.6600198480889841</v>
      </c>
      <c r="Q7" t="n">
        <v>0.08174401688631398</v>
      </c>
      <c r="R7" t="n">
        <v>0.002259394604737125</v>
      </c>
      <c r="S7" t="n">
        <v>0.3882206231341985</v>
      </c>
      <c r="T7" t="n">
        <v>0.05699487002363238</v>
      </c>
      <c r="U7" t="n">
        <v>0.001573793268521145</v>
      </c>
      <c r="V7" t="n">
        <v>0.2707664536696578</v>
      </c>
      <c r="W7" t="n">
        <v>0.1263061541708478</v>
      </c>
      <c r="X7" t="n">
        <v>0.01319201135248159</v>
      </c>
      <c r="Y7" t="n">
        <v>0.5709143446797479</v>
      </c>
      <c r="Z7" t="n">
        <v>0.09786590985651729</v>
      </c>
      <c r="AA7" t="n">
        <v>0.0102222250989862</v>
      </c>
      <c r="AB7" t="n">
        <v>0.4423282301062954</v>
      </c>
      <c r="AC7" t="n">
        <v>0.1600944442012004</v>
      </c>
      <c r="AD7" t="n">
        <v>0.01672356679518703</v>
      </c>
      <c r="AE7" t="n">
        <v>0.7235310723282118</v>
      </c>
      <c r="AF7" t="n">
        <v>0.02987212020821967</v>
      </c>
      <c r="AG7" t="n">
        <v>0.003120415818848748</v>
      </c>
      <c r="AH7" t="n">
        <v>0.13500868523353</v>
      </c>
      <c r="AI7" t="n">
        <v>0.190429159289828</v>
      </c>
      <c r="AJ7" t="n">
        <v>0.01989967785065993</v>
      </c>
      <c r="AK7" t="n">
        <v>0.8603749797060145</v>
      </c>
      <c r="AL7" t="n">
        <v>0.1336939257345651</v>
      </c>
      <c r="AM7" t="n">
        <v>0.0139164071207828</v>
      </c>
      <c r="AN7" t="n">
        <v>0.6061662190748339</v>
      </c>
      <c r="AO7" t="n">
        <v>0.09737612538709822</v>
      </c>
      <c r="AP7" t="n">
        <v>0.01012554145875479</v>
      </c>
      <c r="AQ7" t="n">
        <v>0.4419156543324662</v>
      </c>
      <c r="AR7">
        <f>Custom1!$AV$7</f>
        <v/>
      </c>
      <c r="AS7">
        <f>Custom1!$AW$7</f>
        <v/>
      </c>
      <c r="AT7">
        <f>Custom1!$AX$7</f>
        <v/>
      </c>
      <c r="AU7">
        <f>Custom2!$AV$7</f>
        <v/>
      </c>
      <c r="AV7">
        <f>Custom2!$AW$7</f>
        <v/>
      </c>
      <c r="AW7">
        <f>Custom2!$AX$7</f>
        <v/>
      </c>
    </row>
    <row r="8">
      <c r="A8" t="n">
        <v>410</v>
      </c>
      <c r="B8" t="n">
        <v>0.3669922658914292</v>
      </c>
      <c r="C8" t="n">
        <v>0.01024209767168621</v>
      </c>
      <c r="D8" t="n">
        <v>1.751423572979442</v>
      </c>
      <c r="E8" t="n">
        <v>0.2536784401761552</v>
      </c>
      <c r="F8" t="n">
        <v>0.007077831680983563</v>
      </c>
      <c r="G8" t="n">
        <v>1.210531401515373</v>
      </c>
      <c r="H8" t="n">
        <v>0.4059471008618412</v>
      </c>
      <c r="I8" t="n">
        <v>0.01132537927480739</v>
      </c>
      <c r="J8" t="n">
        <v>1.937090033839271</v>
      </c>
      <c r="K8" t="n">
        <v>0.07901448728124906</v>
      </c>
      <c r="L8" t="n">
        <v>0.002204979144437346</v>
      </c>
      <c r="M8" t="n">
        <v>0.3770756247178867</v>
      </c>
      <c r="N8" t="n">
        <v>0.4394673292865717</v>
      </c>
      <c r="O8" t="n">
        <v>0.01225941655377787</v>
      </c>
      <c r="P8" t="n">
        <v>2.096968522357082</v>
      </c>
      <c r="Q8" t="n">
        <v>0.1689025879472797</v>
      </c>
      <c r="R8" t="n">
        <v>0.004697479827260856</v>
      </c>
      <c r="S8" t="n">
        <v>0.8050041870030392</v>
      </c>
      <c r="T8" t="n">
        <v>0.09755881836872675</v>
      </c>
      <c r="U8" t="n">
        <v>0.002708916615809589</v>
      </c>
      <c r="V8" t="n">
        <v>0.4646839009494186</v>
      </c>
      <c r="W8" t="n">
        <v>0.6249384540774562</v>
      </c>
      <c r="X8" t="n">
        <v>0.06446804897777589</v>
      </c>
      <c r="Y8" t="n">
        <v>2.888145662464653</v>
      </c>
      <c r="Z8" t="n">
        <v>0.4396725689290823</v>
      </c>
      <c r="AA8" t="n">
        <v>0.04536311857489777</v>
      </c>
      <c r="AB8" t="n">
        <v>2.031077665738189</v>
      </c>
      <c r="AC8" t="n">
        <v>0.6946520965293084</v>
      </c>
      <c r="AD8" t="n">
        <v>0.07167375907563645</v>
      </c>
      <c r="AE8" t="n">
        <v>3.208568469298819</v>
      </c>
      <c r="AF8" t="n">
        <v>0.1408125631083679</v>
      </c>
      <c r="AG8" t="n">
        <v>0.01452676129036982</v>
      </c>
      <c r="AH8" t="n">
        <v>0.6506819725269413</v>
      </c>
      <c r="AI8" t="n">
        <v>0.757563549104759</v>
      </c>
      <c r="AJ8" t="n">
        <v>0.0781693462156496</v>
      </c>
      <c r="AK8" t="n">
        <v>3.498648810588155</v>
      </c>
      <c r="AL8" t="n">
        <v>0.3002324471049106</v>
      </c>
      <c r="AM8" t="n">
        <v>0.03103934606658413</v>
      </c>
      <c r="AN8" t="n">
        <v>1.380096662082184</v>
      </c>
      <c r="AO8" t="n">
        <v>0.1732371535633894</v>
      </c>
      <c r="AP8" t="n">
        <v>0.01792886342798542</v>
      </c>
      <c r="AQ8" t="n">
        <v>0.7943524756326878</v>
      </c>
      <c r="AR8">
        <f>Custom1!$AV$8</f>
        <v/>
      </c>
      <c r="AS8">
        <f>Custom1!$AW$8</f>
        <v/>
      </c>
      <c r="AT8">
        <f>Custom1!$AX$8</f>
        <v/>
      </c>
      <c r="AU8">
        <f>Custom2!$AV$8</f>
        <v/>
      </c>
      <c r="AV8">
        <f>Custom2!$AW$8</f>
        <v/>
      </c>
      <c r="AW8">
        <f>Custom2!$AX$8</f>
        <v/>
      </c>
    </row>
    <row r="9">
      <c r="A9" t="n">
        <v>420</v>
      </c>
      <c r="B9" t="n">
        <v>1.315836245555891</v>
      </c>
      <c r="C9" t="n">
        <v>0.04114619384308221</v>
      </c>
      <c r="D9" t="n">
        <v>6.336141146626231</v>
      </c>
      <c r="E9" t="n">
        <v>0.7922092999087034</v>
      </c>
      <c r="F9" t="n">
        <v>0.02467106702378991</v>
      </c>
      <c r="G9" t="n">
        <v>3.813840754088377</v>
      </c>
      <c r="H9" t="n">
        <v>1.221456289882262</v>
      </c>
      <c r="I9" t="n">
        <v>0.03800485317322864</v>
      </c>
      <c r="J9" t="n">
        <v>5.880013091016142</v>
      </c>
      <c r="K9" t="n">
        <v>0.2788445573328502</v>
      </c>
      <c r="L9" t="n">
        <v>0.008720691316937852</v>
      </c>
      <c r="M9" t="n">
        <v>1.342727956444537</v>
      </c>
      <c r="N9" t="n">
        <v>1.312880571243892</v>
      </c>
      <c r="O9" t="n">
        <v>0.04089591629008345</v>
      </c>
      <c r="P9" t="n">
        <v>6.320501295965386</v>
      </c>
      <c r="Q9" t="n">
        <v>0.4112677583933813</v>
      </c>
      <c r="R9" t="n">
        <v>0.01287397483958181</v>
      </c>
      <c r="S9" t="n">
        <v>1.980496103847947</v>
      </c>
      <c r="T9" t="n">
        <v>0.2587296757212876</v>
      </c>
      <c r="U9" t="n">
        <v>0.008177222312423427</v>
      </c>
      <c r="V9" t="n">
        <v>1.246617893265345</v>
      </c>
      <c r="W9" t="n">
        <v>1.717765774424064</v>
      </c>
      <c r="X9" t="n">
        <v>0.1832627051952296</v>
      </c>
      <c r="Y9" t="n">
        <v>8.199229964011511</v>
      </c>
      <c r="Z9" t="n">
        <v>1.059287858775717</v>
      </c>
      <c r="AA9" t="n">
        <v>0.1128103295717674</v>
      </c>
      <c r="AB9" t="n">
        <v>5.052674183800019</v>
      </c>
      <c r="AC9" t="n">
        <v>1.614761229286954</v>
      </c>
      <c r="AD9" t="n">
        <v>0.1719000181335165</v>
      </c>
      <c r="AE9" t="n">
        <v>7.700976836235701</v>
      </c>
      <c r="AF9" t="n">
        <v>0.3807965265389555</v>
      </c>
      <c r="AG9" t="n">
        <v>0.0406283509125838</v>
      </c>
      <c r="AH9" t="n">
        <v>1.817634629633505</v>
      </c>
      <c r="AI9" t="n">
        <v>1.745152030452893</v>
      </c>
      <c r="AJ9" t="n">
        <v>0.1858710487160229</v>
      </c>
      <c r="AK9" t="n">
        <v>8.324057103289228</v>
      </c>
      <c r="AL9" t="n">
        <v>0.5591155663373495</v>
      </c>
      <c r="AM9" t="n">
        <v>0.05967806851853225</v>
      </c>
      <c r="AN9" t="n">
        <v>2.669272229707114</v>
      </c>
      <c r="AO9" t="n">
        <v>0.345890315851345</v>
      </c>
      <c r="AP9" t="n">
        <v>0.03707935803657435</v>
      </c>
      <c r="AQ9" t="n">
        <v>1.65413488670116</v>
      </c>
      <c r="AR9">
        <f>Custom1!$AV$9</f>
        <v/>
      </c>
      <c r="AS9">
        <f>Custom1!$AW$9</f>
        <v/>
      </c>
      <c r="AT9">
        <f>Custom1!$AX$9</f>
        <v/>
      </c>
      <c r="AU9">
        <f>Custom2!$AV$9</f>
        <v/>
      </c>
      <c r="AV9">
        <f>Custom2!$AW$9</f>
        <v/>
      </c>
      <c r="AW9">
        <f>Custom2!$AX$9</f>
        <v/>
      </c>
    </row>
    <row r="10">
      <c r="A10" t="n">
        <v>430</v>
      </c>
      <c r="B10" t="n">
        <v>2.940396299069632</v>
      </c>
      <c r="C10" t="n">
        <v>0.1259271917297999</v>
      </c>
      <c r="D10" t="n">
        <v>14.38255958785706</v>
      </c>
      <c r="E10" t="n">
        <v>1.599821636403335</v>
      </c>
      <c r="F10" t="n">
        <v>0.06869113632905779</v>
      </c>
      <c r="G10" t="n">
        <v>7.82629829221711</v>
      </c>
      <c r="H10" t="n">
        <v>2.366300246520619</v>
      </c>
      <c r="I10" t="n">
        <v>0.101286116413954</v>
      </c>
      <c r="J10" t="n">
        <v>11.57404460503257</v>
      </c>
      <c r="K10" t="n">
        <v>0.6407708546957199</v>
      </c>
      <c r="L10" t="n">
        <v>0.02751232443735214</v>
      </c>
      <c r="M10" t="n">
        <v>3.134659486973605</v>
      </c>
      <c r="N10" t="n">
        <v>2.599440830230149</v>
      </c>
      <c r="O10" t="n">
        <v>0.110755873980123</v>
      </c>
      <c r="P10" t="n">
        <v>12.71144744544876</v>
      </c>
      <c r="Q10" t="n">
        <v>2.621987874808956</v>
      </c>
      <c r="R10" t="n">
        <v>0.1263816346265142</v>
      </c>
      <c r="S10" t="n">
        <v>12.90720572139997</v>
      </c>
      <c r="T10" t="n">
        <v>2.461112538376007</v>
      </c>
      <c r="U10" t="n">
        <v>0.1195266172660094</v>
      </c>
      <c r="V10" t="n">
        <v>12.12056068647428</v>
      </c>
      <c r="W10" t="n">
        <v>2.997731977411854</v>
      </c>
      <c r="X10" t="n">
        <v>0.3757162271006803</v>
      </c>
      <c r="Y10" t="n">
        <v>14.82548537763313</v>
      </c>
      <c r="Z10" t="n">
        <v>1.658942325121475</v>
      </c>
      <c r="AA10" t="n">
        <v>0.2081590601939375</v>
      </c>
      <c r="AB10" t="n">
        <v>8.205475176168775</v>
      </c>
      <c r="AC10" t="n">
        <v>2.423658706464396</v>
      </c>
      <c r="AD10" t="n">
        <v>0.3036041695207126</v>
      </c>
      <c r="AE10" t="n">
        <v>11.98462968726081</v>
      </c>
      <c r="AF10" t="n">
        <v>0.6830545588886188</v>
      </c>
      <c r="AG10" t="n">
        <v>0.08572825153275686</v>
      </c>
      <c r="AH10" t="n">
        <v>3.378862183295511</v>
      </c>
      <c r="AI10" t="n">
        <v>2.682607724418049</v>
      </c>
      <c r="AJ10" t="n">
        <v>0.3352707839127284</v>
      </c>
      <c r="AK10" t="n">
        <v>13.26065157794202</v>
      </c>
      <c r="AL10" t="n">
        <v>2.73213355128992</v>
      </c>
      <c r="AM10" t="n">
        <v>0.3653612914626699</v>
      </c>
      <c r="AN10" t="n">
        <v>13.65334721026705</v>
      </c>
      <c r="AO10" t="n">
        <v>2.562286637515623</v>
      </c>
      <c r="AP10" t="n">
        <v>0.3442105929853018</v>
      </c>
      <c r="AQ10" t="n">
        <v>12.81469788365087</v>
      </c>
      <c r="AR10">
        <f>Custom1!$AV$10</f>
        <v/>
      </c>
      <c r="AS10">
        <f>Custom1!$AW$10</f>
        <v/>
      </c>
      <c r="AT10">
        <f>Custom1!$AX$10</f>
        <v/>
      </c>
      <c r="AU10">
        <f>Custom2!$AV$10</f>
        <v/>
      </c>
      <c r="AV10">
        <f>Custom2!$AW$10</f>
        <v/>
      </c>
      <c r="AW10">
        <f>Custom2!$AX$10</f>
        <v/>
      </c>
    </row>
    <row r="11">
      <c r="A11" t="n">
        <v>440</v>
      </c>
      <c r="B11" t="n">
        <v>3.904449535179816</v>
      </c>
      <c r="C11" t="n">
        <v>0.2641786438641365</v>
      </c>
      <c r="D11" t="n">
        <v>19.62313350896482</v>
      </c>
      <c r="E11" t="n">
        <v>2.428652050782081</v>
      </c>
      <c r="F11" t="n">
        <v>0.1658641866088539</v>
      </c>
      <c r="G11" t="n">
        <v>12.21411690681663</v>
      </c>
      <c r="H11" t="n">
        <v>3.385896067811683</v>
      </c>
      <c r="I11" t="n">
        <v>0.230487766477116</v>
      </c>
      <c r="J11" t="n">
        <v>17.024307258699</v>
      </c>
      <c r="K11" t="n">
        <v>0.9148493410933107</v>
      </c>
      <c r="L11" t="n">
        <v>0.06229048139698966</v>
      </c>
      <c r="M11" t="n">
        <v>4.599950093747912</v>
      </c>
      <c r="N11" t="n">
        <v>3.212528637084633</v>
      </c>
      <c r="O11" t="n">
        <v>0.2167389980041951</v>
      </c>
      <c r="P11" t="n">
        <v>16.14237618468896</v>
      </c>
      <c r="Q11" t="n">
        <v>3.739236116312963</v>
      </c>
      <c r="R11" t="n">
        <v>0.2252404679353529</v>
      </c>
      <c r="S11" t="n">
        <v>18.64758695768857</v>
      </c>
      <c r="T11" t="n">
        <v>3.759409762255348</v>
      </c>
      <c r="U11" t="n">
        <v>0.2282256272715807</v>
      </c>
      <c r="V11" t="n">
        <v>18.75745439185835</v>
      </c>
      <c r="W11" t="n">
        <v>3.896595008626111</v>
      </c>
      <c r="X11" t="n">
        <v>0.6415419694373971</v>
      </c>
      <c r="Y11" t="n">
        <v>20.0052326650023</v>
      </c>
      <c r="Z11" t="n">
        <v>2.465015462575794</v>
      </c>
      <c r="AA11" t="n">
        <v>0.4083186863519279</v>
      </c>
      <c r="AB11" t="n">
        <v>12.66522455488749</v>
      </c>
      <c r="AC11" t="n">
        <v>3.391497595841089</v>
      </c>
      <c r="AD11" t="n">
        <v>0.5605940050708528</v>
      </c>
      <c r="AE11" t="n">
        <v>17.42078882996384</v>
      </c>
      <c r="AF11" t="n">
        <v>0.9554716331831236</v>
      </c>
      <c r="AG11" t="n">
        <v>0.1579592484330933</v>
      </c>
      <c r="AH11" t="n">
        <v>4.90795175206422</v>
      </c>
      <c r="AI11" t="n">
        <v>3.23999371507913</v>
      </c>
      <c r="AJ11" t="n">
        <v>0.5324438895945471</v>
      </c>
      <c r="AK11" t="n">
        <v>16.63026750001586</v>
      </c>
      <c r="AL11" t="n">
        <v>3.875473620007129</v>
      </c>
      <c r="AM11" t="n">
        <v>0.5925420324966088</v>
      </c>
      <c r="AN11" t="n">
        <v>19.71353620439139</v>
      </c>
      <c r="AO11" t="n">
        <v>3.902530861020188</v>
      </c>
      <c r="AP11" t="n">
        <v>0.5995998206708824</v>
      </c>
      <c r="AQ11" t="n">
        <v>19.86291694951561</v>
      </c>
      <c r="AR11">
        <f>Custom1!$AV$11</f>
        <v/>
      </c>
      <c r="AS11">
        <f>Custom1!$AW$11</f>
        <v/>
      </c>
      <c r="AT11">
        <f>Custom1!$AX$11</f>
        <v/>
      </c>
      <c r="AU11">
        <f>Custom2!$AV$11</f>
        <v/>
      </c>
      <c r="AV11">
        <f>Custom2!$AW$11</f>
        <v/>
      </c>
      <c r="AW11">
        <f>Custom2!$AX$11</f>
        <v/>
      </c>
    </row>
    <row r="12">
      <c r="A12" t="n">
        <v>450</v>
      </c>
      <c r="B12" t="n">
        <v>3.891675965011074</v>
      </c>
      <c r="C12" t="n">
        <v>0.4469759833083212</v>
      </c>
      <c r="D12" t="n">
        <v>20.54863695351001</v>
      </c>
      <c r="E12" t="n">
        <v>2.740467158359557</v>
      </c>
      <c r="F12" t="n">
        <v>0.3166983527012314</v>
      </c>
      <c r="G12" t="n">
        <v>14.48060204697993</v>
      </c>
      <c r="H12" t="n">
        <v>3.660052708686839</v>
      </c>
      <c r="I12" t="n">
        <v>0.4219200601314212</v>
      </c>
      <c r="J12" t="n">
        <v>19.3340148552344</v>
      </c>
      <c r="K12" t="n">
        <v>1.025741486249891</v>
      </c>
      <c r="L12" t="n">
        <v>0.1189443166441825</v>
      </c>
      <c r="M12" t="n">
        <v>5.422190479179</v>
      </c>
      <c r="N12" t="n">
        <v>3.133076387816255</v>
      </c>
      <c r="O12" t="n">
        <v>0.3598279133532514</v>
      </c>
      <c r="P12" t="n">
        <v>16.54300643099982</v>
      </c>
      <c r="Q12" t="n">
        <v>1.51090489843114</v>
      </c>
      <c r="R12" t="n">
        <v>0.1747337920784766</v>
      </c>
      <c r="S12" t="n">
        <v>7.984287192206729</v>
      </c>
      <c r="T12" t="n">
        <v>1.625964142207626</v>
      </c>
      <c r="U12" t="n">
        <v>0.1870196063372917</v>
      </c>
      <c r="V12" t="n">
        <v>8.586808039164167</v>
      </c>
      <c r="W12" t="n">
        <v>3.874353231438318</v>
      </c>
      <c r="X12" t="n">
        <v>0.9478256011338342</v>
      </c>
      <c r="Y12" t="n">
        <v>20.852487963009</v>
      </c>
      <c r="Z12" t="n">
        <v>2.772792204449255</v>
      </c>
      <c r="AA12" t="n">
        <v>0.6818443261858866</v>
      </c>
      <c r="AB12" t="n">
        <v>14.93295925849903</v>
      </c>
      <c r="AC12" t="n">
        <v>3.655606387132846</v>
      </c>
      <c r="AD12" t="n">
        <v>0.8970640095473739</v>
      </c>
      <c r="AE12" t="n">
        <v>19.68253836125167</v>
      </c>
      <c r="AF12" t="n">
        <v>1.067828572553378</v>
      </c>
      <c r="AG12" t="n">
        <v>0.2633401899502499</v>
      </c>
      <c r="AH12" t="n">
        <v>5.752660096589807</v>
      </c>
      <c r="AI12" t="n">
        <v>3.152504564968098</v>
      </c>
      <c r="AJ12" t="n">
        <v>0.7711971642766196</v>
      </c>
      <c r="AK12" t="n">
        <v>16.96722909222324</v>
      </c>
      <c r="AL12" t="n">
        <v>1.568974676799249</v>
      </c>
      <c r="AM12" t="n">
        <v>0.3860581071169232</v>
      </c>
      <c r="AN12" t="n">
        <v>8.450248278599826</v>
      </c>
      <c r="AO12" t="n">
        <v>1.691168537586143</v>
      </c>
      <c r="AP12" t="n">
        <v>0.4142296987864613</v>
      </c>
      <c r="AQ12" t="n">
        <v>9.103589142591705</v>
      </c>
      <c r="AR12">
        <f>Custom1!$AV$12</f>
        <v/>
      </c>
      <c r="AS12">
        <f>Custom1!$AW$12</f>
        <v/>
      </c>
      <c r="AT12">
        <f>Custom1!$AX$12</f>
        <v/>
      </c>
      <c r="AU12">
        <f>Custom2!$AV$12</f>
        <v/>
      </c>
      <c r="AV12">
        <f>Custom2!$AW$12</f>
        <v/>
      </c>
      <c r="AW12">
        <f>Custom2!$AX$12</f>
        <v/>
      </c>
    </row>
    <row r="13">
      <c r="A13" t="n">
        <v>460</v>
      </c>
      <c r="B13" t="n">
        <v>3.333061544905982</v>
      </c>
      <c r="C13" t="n">
        <v>0.7001265203599844</v>
      </c>
      <c r="D13" t="n">
        <v>19.13570086204335</v>
      </c>
      <c r="E13" t="n">
        <v>2.471302770557504</v>
      </c>
      <c r="F13" t="n">
        <v>0.5201527083478169</v>
      </c>
      <c r="G13" t="n">
        <v>14.19285281798895</v>
      </c>
      <c r="H13" t="n">
        <v>3.197371104070971</v>
      </c>
      <c r="I13" t="n">
        <v>0.6711841761028625</v>
      </c>
      <c r="J13" t="n">
        <v>18.35504946633576</v>
      </c>
      <c r="K13" t="n">
        <v>1.005490562766308</v>
      </c>
      <c r="L13" t="n">
        <v>0.213521144346251</v>
      </c>
      <c r="M13" t="n">
        <v>5.782639895661359</v>
      </c>
      <c r="N13" t="n">
        <v>2.693796225194627</v>
      </c>
      <c r="O13" t="n">
        <v>0.5659452031219213</v>
      </c>
      <c r="P13" t="n">
        <v>15.4660494409168</v>
      </c>
      <c r="Q13" t="n">
        <v>1.408372299121555</v>
      </c>
      <c r="R13" t="n">
        <v>0.2974875908896034</v>
      </c>
      <c r="S13" t="n">
        <v>8.092872877713951</v>
      </c>
      <c r="T13" t="n">
        <v>1.317600944013682</v>
      </c>
      <c r="U13" t="n">
        <v>0.2733925756363608</v>
      </c>
      <c r="V13" t="n">
        <v>7.55025953325849</v>
      </c>
      <c r="W13" t="n">
        <v>3.152381713639729</v>
      </c>
      <c r="X13" t="n">
        <v>1.351960032886523</v>
      </c>
      <c r="Y13" t="n">
        <v>18.22330768579654</v>
      </c>
      <c r="Z13" t="n">
        <v>2.375716784291742</v>
      </c>
      <c r="AA13" t="n">
        <v>1.020933974178825</v>
      </c>
      <c r="AB13" t="n">
        <v>13.73768365570982</v>
      </c>
      <c r="AC13" t="n">
        <v>3.034500446645486</v>
      </c>
      <c r="AD13" t="n">
        <v>1.300606868583184</v>
      </c>
      <c r="AE13" t="n">
        <v>17.54032175308312</v>
      </c>
      <c r="AF13" t="n">
        <v>0.9939653829405911</v>
      </c>
      <c r="AG13" t="n">
        <v>0.4309113287188142</v>
      </c>
      <c r="AH13" t="n">
        <v>5.755113216178813</v>
      </c>
      <c r="AI13" t="n">
        <v>2.574974597159031</v>
      </c>
      <c r="AJ13" t="n">
        <v>1.104530697621074</v>
      </c>
      <c r="AK13" t="n">
        <v>14.88584193852607</v>
      </c>
      <c r="AL13" t="n">
        <v>1.389202351908372</v>
      </c>
      <c r="AM13" t="n">
        <v>0.5990952014438518</v>
      </c>
      <c r="AN13" t="n">
        <v>8.037289101871302</v>
      </c>
      <c r="AO13" t="n">
        <v>1.30341514975282</v>
      </c>
      <c r="AP13" t="n">
        <v>0.5522801852473234</v>
      </c>
      <c r="AQ13" t="n">
        <v>7.521493880999016</v>
      </c>
      <c r="AR13">
        <f>Custom1!$AV$13</f>
        <v/>
      </c>
      <c r="AS13">
        <f>Custom1!$AW$13</f>
        <v/>
      </c>
      <c r="AT13">
        <f>Custom1!$AX$13</f>
        <v/>
      </c>
      <c r="AU13">
        <f>Custom2!$AV$13</f>
        <v/>
      </c>
      <c r="AV13">
        <f>Custom2!$AW$13</f>
        <v/>
      </c>
      <c r="AW13">
        <f>Custom2!$AX$13</f>
        <v/>
      </c>
    </row>
    <row r="14">
      <c r="A14" t="n">
        <v>470</v>
      </c>
      <c r="B14" t="n">
        <v>2.276838310281211</v>
      </c>
      <c r="C14" t="n">
        <v>1.070995088543365</v>
      </c>
      <c r="D14" t="n">
        <v>14.94624210939338</v>
      </c>
      <c r="E14" t="n">
        <v>1.707978964275884</v>
      </c>
      <c r="F14" t="n">
        <v>0.8052294917706457</v>
      </c>
      <c r="G14" t="n">
        <v>11.21632009197045</v>
      </c>
      <c r="H14" t="n">
        <v>2.140752105416256</v>
      </c>
      <c r="I14" t="n">
        <v>1.005237351768912</v>
      </c>
      <c r="J14" t="n">
        <v>14.04806859513007</v>
      </c>
      <c r="K14" t="n">
        <v>0.7724461714717483</v>
      </c>
      <c r="L14" t="n">
        <v>0.3685043657578714</v>
      </c>
      <c r="M14" t="n">
        <v>5.083816343873973</v>
      </c>
      <c r="N14" t="n">
        <v>1.834046149778159</v>
      </c>
      <c r="O14" t="n">
        <v>0.8620428670620222</v>
      </c>
      <c r="P14" t="n">
        <v>12.03781122248516</v>
      </c>
      <c r="Q14" t="n">
        <v>1.005166022458498</v>
      </c>
      <c r="R14" t="n">
        <v>0.4741310542138734</v>
      </c>
      <c r="S14" t="n">
        <v>6.601794691422826</v>
      </c>
      <c r="T14" t="n">
        <v>0.7432963812604911</v>
      </c>
      <c r="U14" t="n">
        <v>0.3390777420930609</v>
      </c>
      <c r="V14" t="n">
        <v>4.852422579691835</v>
      </c>
      <c r="W14" t="n">
        <v>2.046863264262799</v>
      </c>
      <c r="X14" t="n">
        <v>1.957358139899729</v>
      </c>
      <c r="Y14" t="n">
        <v>13.7423377805361</v>
      </c>
      <c r="Z14" t="n">
        <v>1.560693351875693</v>
      </c>
      <c r="AA14" t="n">
        <v>1.495866421307132</v>
      </c>
      <c r="AB14" t="n">
        <v>10.48345410515062</v>
      </c>
      <c r="AC14" t="n">
        <v>1.931278403864897</v>
      </c>
      <c r="AD14" t="n">
        <v>1.843590698723855</v>
      </c>
      <c r="AE14" t="n">
        <v>12.96081797536821</v>
      </c>
      <c r="AF14" t="n">
        <v>0.7257996863995806</v>
      </c>
      <c r="AG14" t="n">
        <v>0.7040373654649629</v>
      </c>
      <c r="AH14" t="n">
        <v>4.888787232758384</v>
      </c>
      <c r="AI14" t="n">
        <v>1.666528373263268</v>
      </c>
      <c r="AJ14" t="n">
        <v>1.592404966287554</v>
      </c>
      <c r="AK14" t="n">
        <v>11.18680770079388</v>
      </c>
      <c r="AL14" t="n">
        <v>0.9427515133125635</v>
      </c>
      <c r="AM14" t="n">
        <v>0.9040625552658642</v>
      </c>
      <c r="AN14" t="n">
        <v>6.333590797256036</v>
      </c>
      <c r="AO14" t="n">
        <v>0.6996715993298359</v>
      </c>
      <c r="AP14" t="n">
        <v>0.64867460360185</v>
      </c>
      <c r="AQ14" t="n">
        <v>4.664963658175219</v>
      </c>
      <c r="AR14">
        <f>Custom1!$AV$14</f>
        <v/>
      </c>
      <c r="AS14">
        <f>Custom1!$AW$14</f>
        <v/>
      </c>
      <c r="AT14">
        <f>Custom1!$AX$14</f>
        <v/>
      </c>
      <c r="AU14">
        <f>Custom2!$AV$14</f>
        <v/>
      </c>
      <c r="AV14">
        <f>Custom2!$AW$14</f>
        <v/>
      </c>
      <c r="AW14">
        <f>Custom2!$AX$14</f>
        <v/>
      </c>
    </row>
    <row r="15">
      <c r="A15" t="n">
        <v>480</v>
      </c>
      <c r="B15" t="n">
        <v>1.1377973184105</v>
      </c>
      <c r="C15" t="n">
        <v>1.625640672260932</v>
      </c>
      <c r="D15" t="n">
        <v>9.544614060158739</v>
      </c>
      <c r="E15" t="n">
        <v>0.8769690815041729</v>
      </c>
      <c r="F15" t="n">
        <v>1.255639859680074</v>
      </c>
      <c r="G15" t="n">
        <v>7.361290616207761</v>
      </c>
      <c r="H15" t="n">
        <v>1.066562177472091</v>
      </c>
      <c r="I15" t="n">
        <v>1.519978062233851</v>
      </c>
      <c r="J15" t="n">
        <v>8.941441494312919</v>
      </c>
      <c r="K15" t="n">
        <v>0.4322175796381217</v>
      </c>
      <c r="L15" t="n">
        <v>0.6297760106098087</v>
      </c>
      <c r="M15" t="n">
        <v>3.645057481481758</v>
      </c>
      <c r="N15" t="n">
        <v>0.915549137402652</v>
      </c>
      <c r="O15" t="n">
        <v>1.310026279603508</v>
      </c>
      <c r="P15" t="n">
        <v>7.683191595917279</v>
      </c>
      <c r="Q15" t="n">
        <v>0.5101277869115044</v>
      </c>
      <c r="R15" t="n">
        <v>0.7299457269188367</v>
      </c>
      <c r="S15" t="n">
        <v>4.281044496154237</v>
      </c>
      <c r="T15" t="n">
        <v>0.442472311167429</v>
      </c>
      <c r="U15" t="n">
        <v>0.7738810900365293</v>
      </c>
      <c r="V15" t="n">
        <v>3.926947816684646</v>
      </c>
      <c r="W15" t="n">
        <v>0.8814499648966209</v>
      </c>
      <c r="X15" t="n">
        <v>2.696624671785279</v>
      </c>
      <c r="Y15" t="n">
        <v>8.28309268289226</v>
      </c>
      <c r="Z15" t="n">
        <v>0.6903599777086192</v>
      </c>
      <c r="AA15" t="n">
        <v>2.117123729643673</v>
      </c>
      <c r="AB15" t="n">
        <v>6.493544896200193</v>
      </c>
      <c r="AC15" t="n">
        <v>0.8294107301348953</v>
      </c>
      <c r="AD15" t="n">
        <v>2.530474610211674</v>
      </c>
      <c r="AE15" t="n">
        <v>7.786876416956936</v>
      </c>
      <c r="AF15" t="n">
        <v>0.349065761196508</v>
      </c>
      <c r="AG15" t="n">
        <v>1.091293738896867</v>
      </c>
      <c r="AH15" t="n">
        <v>3.306208450515721</v>
      </c>
      <c r="AI15" t="n">
        <v>0.7166862763283924</v>
      </c>
      <c r="AJ15" t="n">
        <v>2.196085673792034</v>
      </c>
      <c r="AK15" t="n">
        <v>6.7386103810229</v>
      </c>
      <c r="AL15" t="n">
        <v>0.4122627224513178</v>
      </c>
      <c r="AM15" t="n">
        <v>1.263331224900121</v>
      </c>
      <c r="AN15" t="n">
        <v>3.876428535214655</v>
      </c>
      <c r="AO15" t="n">
        <v>0.3447251173447289</v>
      </c>
      <c r="AP15" t="n">
        <v>1.322141795450215</v>
      </c>
      <c r="AQ15" t="n">
        <v>3.527954844505645</v>
      </c>
      <c r="AR15">
        <f>Custom1!$AV$15</f>
        <v/>
      </c>
      <c r="AS15">
        <f>Custom1!$AW$15</f>
        <v/>
      </c>
      <c r="AT15">
        <f>Custom1!$AX$15</f>
        <v/>
      </c>
      <c r="AU15">
        <f>Custom2!$AV$15</f>
        <v/>
      </c>
      <c r="AV15">
        <f>Custom2!$AW$15</f>
        <v/>
      </c>
      <c r="AW15">
        <f>Custom2!$AX$15</f>
        <v/>
      </c>
    </row>
    <row r="16">
      <c r="A16" t="n">
        <v>490</v>
      </c>
      <c r="B16" t="n">
        <v>0.3890540727008981</v>
      </c>
      <c r="C16" t="n">
        <v>2.377613524151803</v>
      </c>
      <c r="D16" t="n">
        <v>5.385107867272496</v>
      </c>
      <c r="E16" t="n">
        <v>0.3018588908331462</v>
      </c>
      <c r="F16" t="n">
        <v>1.864465135219114</v>
      </c>
      <c r="G16" t="n">
        <v>4.195767005025042</v>
      </c>
      <c r="H16" t="n">
        <v>0.3567914533273989</v>
      </c>
      <c r="I16" t="n">
        <v>2.188408763985478</v>
      </c>
      <c r="J16" t="n">
        <v>4.944808922084549</v>
      </c>
      <c r="K16" t="n">
        <v>0.1678746429659743</v>
      </c>
      <c r="L16" t="n">
        <v>1.060608819321396</v>
      </c>
      <c r="M16" t="n">
        <v>2.356386537712523</v>
      </c>
      <c r="N16" t="n">
        <v>0.3197508512222943</v>
      </c>
      <c r="O16" t="n">
        <v>1.974467940151775</v>
      </c>
      <c r="P16" t="n">
        <v>4.444880750736724</v>
      </c>
      <c r="Q16" t="n">
        <v>0.1773906398712096</v>
      </c>
      <c r="R16" t="n">
        <v>1.090519332341873</v>
      </c>
      <c r="S16" t="n">
        <v>2.461597072227112</v>
      </c>
      <c r="T16" t="n">
        <v>0.3274398946833021</v>
      </c>
      <c r="U16" t="n">
        <v>1.87186892848976</v>
      </c>
      <c r="V16" t="n">
        <v>4.421084791399958</v>
      </c>
      <c r="W16" t="n">
        <v>0.2032761681385954</v>
      </c>
      <c r="X16" t="n">
        <v>3.504305377671817</v>
      </c>
      <c r="Y16" t="n">
        <v>4.376447906627194</v>
      </c>
      <c r="Z16" t="n">
        <v>0.1599709949219837</v>
      </c>
      <c r="AA16" t="n">
        <v>2.791008825604598</v>
      </c>
      <c r="AB16" t="n">
        <v>3.465044964514936</v>
      </c>
      <c r="AC16" t="n">
        <v>0.1870486365456408</v>
      </c>
      <c r="AD16" t="n">
        <v>3.235239224285986</v>
      </c>
      <c r="AE16" t="n">
        <v>4.031826231137219</v>
      </c>
      <c r="AF16" t="n">
        <v>0.09077873352754967</v>
      </c>
      <c r="AG16" t="n">
        <v>1.631049442497729</v>
      </c>
      <c r="AH16" t="n">
        <v>2.000644176443333</v>
      </c>
      <c r="AI16" t="n">
        <v>0.1683265018106435</v>
      </c>
      <c r="AJ16" t="n">
        <v>2.93868481944739</v>
      </c>
      <c r="AK16" t="n">
        <v>3.649325759655095</v>
      </c>
      <c r="AL16" t="n">
        <v>0.09650316593019151</v>
      </c>
      <c r="AM16" t="n">
        <v>1.67638204570325</v>
      </c>
      <c r="AN16" t="n">
        <v>2.086947336853386</v>
      </c>
      <c r="AO16" t="n">
        <v>0.1805617864466189</v>
      </c>
      <c r="AP16" t="n">
        <v>2.901588772942088</v>
      </c>
      <c r="AQ16" t="n">
        <v>3.764229986802468</v>
      </c>
      <c r="AR16">
        <f>Custom1!$AV$16</f>
        <v/>
      </c>
      <c r="AS16">
        <f>Custom1!$AW$16</f>
        <v/>
      </c>
      <c r="AT16">
        <f>Custom1!$AX$16</f>
        <v/>
      </c>
      <c r="AU16">
        <f>Custom2!$AV$16</f>
        <v/>
      </c>
      <c r="AV16">
        <f>Custom2!$AW$16</f>
        <v/>
      </c>
      <c r="AW16">
        <f>Custom2!$AX$16</f>
        <v/>
      </c>
    </row>
    <row r="17">
      <c r="A17" t="n">
        <v>500</v>
      </c>
      <c r="B17" t="n">
        <v>0.07217513872188766</v>
      </c>
      <c r="C17" t="n">
        <v>3.433395667377536</v>
      </c>
      <c r="D17" t="n">
        <v>2.935013575138764</v>
      </c>
      <c r="E17" t="n">
        <v>0.06063548671424197</v>
      </c>
      <c r="F17" t="n">
        <v>2.980790419952108</v>
      </c>
      <c r="G17" t="n">
        <v>2.513703996668818</v>
      </c>
      <c r="H17" t="n">
        <v>0.06945408982214252</v>
      </c>
      <c r="I17" t="n">
        <v>3.384862983099377</v>
      </c>
      <c r="J17" t="n">
        <v>2.864465030215104</v>
      </c>
      <c r="K17" t="n">
        <v>0.03645731728534947</v>
      </c>
      <c r="L17" t="n">
        <v>1.830593205707901</v>
      </c>
      <c r="M17" t="n">
        <v>1.529525431292818</v>
      </c>
      <c r="N17" t="n">
        <v>0.06293479108714214</v>
      </c>
      <c r="O17" t="n">
        <v>3.069299346736869</v>
      </c>
      <c r="P17" t="n">
        <v>2.596001642761819</v>
      </c>
      <c r="Q17" t="n">
        <v>0.03381059246993535</v>
      </c>
      <c r="R17" t="n">
        <v>1.629180384648929</v>
      </c>
      <c r="S17" t="n">
        <v>1.384795088544737</v>
      </c>
      <c r="T17" t="n">
        <v>0.03136720272927741</v>
      </c>
      <c r="U17" t="n">
        <v>1.07873300284774</v>
      </c>
      <c r="V17" t="n">
        <v>1.06399234528531</v>
      </c>
      <c r="W17" t="n">
        <v>0.06613157452074855</v>
      </c>
      <c r="X17" t="n">
        <v>4.391586420095983</v>
      </c>
      <c r="Y17" t="n">
        <v>2.157160785831834</v>
      </c>
      <c r="Z17" t="n">
        <v>0.05913381554288914</v>
      </c>
      <c r="AA17" t="n">
        <v>3.86751827495207</v>
      </c>
      <c r="AB17" t="n">
        <v>1.874804073346821</v>
      </c>
      <c r="AC17" t="n">
        <v>0.06607504666450099</v>
      </c>
      <c r="AD17" t="n">
        <v>4.337160037373284</v>
      </c>
      <c r="AE17" t="n">
        <v>2.109664153719708</v>
      </c>
      <c r="AF17" t="n">
        <v>0.0378006960062963</v>
      </c>
      <c r="AG17" t="n">
        <v>2.440512468154167</v>
      </c>
      <c r="AH17" t="n">
        <v>1.172574751673909</v>
      </c>
      <c r="AI17" t="n">
        <v>0.06044907525429843</v>
      </c>
      <c r="AJ17" t="n">
        <v>3.960848080296122</v>
      </c>
      <c r="AK17" t="n">
        <v>1.925697783082454</v>
      </c>
      <c r="AL17" t="n">
        <v>0.0329747125571821</v>
      </c>
      <c r="AM17" t="n">
        <v>2.172336212909633</v>
      </c>
      <c r="AN17" t="n">
        <v>1.061256318119181</v>
      </c>
      <c r="AO17" t="n">
        <v>0.01908438083298751</v>
      </c>
      <c r="AP17" t="n">
        <v>1.476796970145271</v>
      </c>
      <c r="AQ17" t="n">
        <v>0.831954289806331</v>
      </c>
      <c r="AR17">
        <f>Custom1!$AV$17</f>
        <v/>
      </c>
      <c r="AS17">
        <f>Custom1!$AW$17</f>
        <v/>
      </c>
      <c r="AT17">
        <f>Custom1!$AX$17</f>
        <v/>
      </c>
      <c r="AU17">
        <f>Custom2!$AV$17</f>
        <v/>
      </c>
      <c r="AV17">
        <f>Custom2!$AW$17</f>
        <v/>
      </c>
      <c r="AW17">
        <f>Custom2!$AX$17</f>
        <v/>
      </c>
    </row>
    <row r="18">
      <c r="A18" t="n">
        <v>510</v>
      </c>
      <c r="B18" t="n">
        <v>0.1182247755279193</v>
      </c>
      <c r="C18" t="n">
        <v>4.850784281243364</v>
      </c>
      <c r="D18" t="n">
        <v>1.5524879472619</v>
      </c>
      <c r="E18" t="n">
        <v>0.1153306229557375</v>
      </c>
      <c r="F18" t="n">
        <v>4.64669996380873</v>
      </c>
      <c r="G18" t="n">
        <v>1.470661353344727</v>
      </c>
      <c r="H18" t="n">
        <v>0.1267809847929407</v>
      </c>
      <c r="I18" t="n">
        <v>5.141388476244686</v>
      </c>
      <c r="J18" t="n">
        <v>1.633177119961457</v>
      </c>
      <c r="K18" t="n">
        <v>0.07866581291712388</v>
      </c>
      <c r="L18" t="n">
        <v>3.109764083127987</v>
      </c>
      <c r="M18" t="n">
        <v>0.9731307959149336</v>
      </c>
      <c r="N18" t="n">
        <v>0.1172131239206625</v>
      </c>
      <c r="O18" t="n">
        <v>4.729467664782819</v>
      </c>
      <c r="P18" t="n">
        <v>1.498269152870105</v>
      </c>
      <c r="Q18" t="n">
        <v>0.0602989913752092</v>
      </c>
      <c r="R18" t="n">
        <v>2.439289481249866</v>
      </c>
      <c r="S18" t="n">
        <v>0.7743134322537805</v>
      </c>
      <c r="T18" t="n">
        <v>0.01108891666648626</v>
      </c>
      <c r="U18" t="n">
        <v>0.5287740282349612</v>
      </c>
      <c r="V18" t="n">
        <v>0.1848557445345943</v>
      </c>
      <c r="W18" t="n">
        <v>0.348321104186402</v>
      </c>
      <c r="X18" t="n">
        <v>5.293079492983249</v>
      </c>
      <c r="Y18" t="n">
        <v>1.023306993613868</v>
      </c>
      <c r="Z18" t="n">
        <v>0.3428194852202235</v>
      </c>
      <c r="AA18" t="n">
        <v>5.146736642842305</v>
      </c>
      <c r="AB18" t="n">
        <v>0.9850613204400571</v>
      </c>
      <c r="AC18" t="n">
        <v>0.3730408130873749</v>
      </c>
      <c r="AD18" t="n">
        <v>5.623567768191575</v>
      </c>
      <c r="AE18" t="n">
        <v>1.079796135672786</v>
      </c>
      <c r="AF18" t="n">
        <v>0.2386777593461266</v>
      </c>
      <c r="AG18" t="n">
        <v>3.539156844480273</v>
      </c>
      <c r="AH18" t="n">
        <v>0.6705648583106784</v>
      </c>
      <c r="AI18" t="n">
        <v>0.3465878417125707</v>
      </c>
      <c r="AJ18" t="n">
        <v>5.208508164482517</v>
      </c>
      <c r="AK18" t="n">
        <v>0.9977376170686518</v>
      </c>
      <c r="AL18" t="n">
        <v>0.1842410363873114</v>
      </c>
      <c r="AM18" t="n">
        <v>2.774223504472332</v>
      </c>
      <c r="AN18" t="n">
        <v>0.5324351145322844</v>
      </c>
      <c r="AO18" t="n">
        <v>0.03631632458429714</v>
      </c>
      <c r="AP18" t="n">
        <v>0.6105032890869357</v>
      </c>
      <c r="AQ18" t="n">
        <v>0.1278740189801066</v>
      </c>
      <c r="AR18">
        <f>Custom1!$AV$18</f>
        <v/>
      </c>
      <c r="AS18">
        <f>Custom1!$AW$18</f>
        <v/>
      </c>
      <c r="AT18">
        <f>Custom1!$AX$18</f>
        <v/>
      </c>
      <c r="AU18">
        <f>Custom2!$AV$18</f>
        <v/>
      </c>
      <c r="AV18">
        <f>Custom2!$AW$18</f>
        <v/>
      </c>
      <c r="AW18">
        <f>Custom2!$AX$18</f>
        <v/>
      </c>
    </row>
    <row r="19">
      <c r="A19" t="n">
        <v>520</v>
      </c>
      <c r="B19" t="n">
        <v>0.6045003235959517</v>
      </c>
      <c r="C19" t="n">
        <v>6.444610393966232</v>
      </c>
      <c r="D19" t="n">
        <v>0.7453489434903855</v>
      </c>
      <c r="E19" t="n">
        <v>0.6193597364903397</v>
      </c>
      <c r="F19" t="n">
        <v>6.564322297763926</v>
      </c>
      <c r="G19" t="n">
        <v>0.7549137022442456</v>
      </c>
      <c r="H19" t="n">
        <v>0.6623546574081774</v>
      </c>
      <c r="I19" t="n">
        <v>7.04343856164982</v>
      </c>
      <c r="J19" t="n">
        <v>0.8127705994908296</v>
      </c>
      <c r="K19" t="n">
        <v>0.4517229369594157</v>
      </c>
      <c r="L19" t="n">
        <v>4.754159642882988</v>
      </c>
      <c r="M19" t="n">
        <v>0.5426586603396379</v>
      </c>
      <c r="N19" t="n">
        <v>0.6205510776190923</v>
      </c>
      <c r="O19" t="n">
        <v>6.600900355883377</v>
      </c>
      <c r="P19" t="n">
        <v>0.7614173888219483</v>
      </c>
      <c r="Q19" t="n">
        <v>0.3294683862427807</v>
      </c>
      <c r="R19" t="n">
        <v>3.478764532598735</v>
      </c>
      <c r="S19" t="n">
        <v>0.3986134800946922</v>
      </c>
      <c r="T19" t="n">
        <v>0.04022747662818476</v>
      </c>
      <c r="U19" t="n">
        <v>0.4424324761671473</v>
      </c>
      <c r="V19" t="n">
        <v>0.05287528557530285</v>
      </c>
      <c r="W19" t="n">
        <v>0.9918432714479677</v>
      </c>
      <c r="X19" t="n">
        <v>6.278905848724851</v>
      </c>
      <c r="Y19" t="n">
        <v>0.5119708981431943</v>
      </c>
      <c r="Z19" t="n">
        <v>1.030784233518489</v>
      </c>
      <c r="AA19" t="n">
        <v>6.498744224171839</v>
      </c>
      <c r="AB19" t="n">
        <v>0.5272633041009367</v>
      </c>
      <c r="AC19" t="n">
        <v>1.08940322256145</v>
      </c>
      <c r="AD19" t="n">
        <v>6.884473855944405</v>
      </c>
      <c r="AE19" t="n">
        <v>0.5602127861758539</v>
      </c>
      <c r="AF19" t="n">
        <v>0.7716434197203195</v>
      </c>
      <c r="AG19" t="n">
        <v>4.840718068289918</v>
      </c>
      <c r="AH19" t="n">
        <v>0.3902091210595713</v>
      </c>
      <c r="AI19" t="n">
        <v>1.028219311850882</v>
      </c>
      <c r="AJ19" t="n">
        <v>6.498584178423178</v>
      </c>
      <c r="AK19" t="n">
        <v>0.528706538940708</v>
      </c>
      <c r="AL19" t="n">
        <v>0.5619849864422961</v>
      </c>
      <c r="AM19" t="n">
        <v>3.533824991051119</v>
      </c>
      <c r="AN19" t="n">
        <v>0.2857912804939801</v>
      </c>
      <c r="AO19" t="n">
        <v>0.06978509410947387</v>
      </c>
      <c r="AP19" t="n">
        <v>0.451642041126195</v>
      </c>
      <c r="AQ19" t="n">
        <v>0.03787501751266094</v>
      </c>
      <c r="AR19">
        <f>Custom1!$AV$19</f>
        <v/>
      </c>
      <c r="AS19">
        <f>Custom1!$AW$19</f>
        <v/>
      </c>
      <c r="AT19">
        <f>Custom1!$AX$19</f>
        <v/>
      </c>
      <c r="AU19">
        <f>Custom2!$AV$19</f>
        <v/>
      </c>
      <c r="AV19">
        <f>Custom2!$AW$19</f>
        <v/>
      </c>
      <c r="AW19">
        <f>Custom2!$AX$19</f>
        <v/>
      </c>
    </row>
    <row r="20">
      <c r="A20" t="n">
        <v>530</v>
      </c>
      <c r="B20" t="n">
        <v>1.540510079208634</v>
      </c>
      <c r="C20" t="n">
        <v>7.91658691553955</v>
      </c>
      <c r="D20" t="n">
        <v>0.3941580672549675</v>
      </c>
      <c r="E20" t="n">
        <v>1.608932602228953</v>
      </c>
      <c r="F20" t="n">
        <v>8.277260592945915</v>
      </c>
      <c r="G20" t="n">
        <v>0.4126079452279947</v>
      </c>
      <c r="H20" t="n">
        <v>1.685130871069044</v>
      </c>
      <c r="I20" t="n">
        <v>8.681086591907066</v>
      </c>
      <c r="J20" t="n">
        <v>0.4335782435663911</v>
      </c>
      <c r="K20" t="n">
        <v>1.231014824583198</v>
      </c>
      <c r="L20" t="n">
        <v>6.303205186856049</v>
      </c>
      <c r="M20" t="n">
        <v>0.3121971740616915</v>
      </c>
      <c r="N20" t="n">
        <v>1.558981339811047</v>
      </c>
      <c r="O20" t="n">
        <v>8.029566905227739</v>
      </c>
      <c r="P20" t="n">
        <v>0.4010279754738675</v>
      </c>
      <c r="Q20" t="n">
        <v>0.936465597683642</v>
      </c>
      <c r="R20" t="n">
        <v>4.765475624939298</v>
      </c>
      <c r="S20" t="n">
        <v>0.2340167701898458</v>
      </c>
      <c r="T20" t="n">
        <v>0.2710970688048714</v>
      </c>
      <c r="U20" t="n">
        <v>1.225176572035737</v>
      </c>
      <c r="V20" t="n">
        <v>0.05006798521683452</v>
      </c>
      <c r="W20" t="n">
        <v>1.989551574258543</v>
      </c>
      <c r="X20" t="n">
        <v>7.310741273580345</v>
      </c>
      <c r="Y20" t="n">
        <v>0.2594452881955872</v>
      </c>
      <c r="Z20" t="n">
        <v>2.113074250379232</v>
      </c>
      <c r="AA20" t="n">
        <v>7.771077431780129</v>
      </c>
      <c r="AB20" t="n">
        <v>0.2761330140025747</v>
      </c>
      <c r="AC20" t="n">
        <v>2.185167451387662</v>
      </c>
      <c r="AD20" t="n">
        <v>8.044857073029407</v>
      </c>
      <c r="AE20" t="n">
        <v>0.2864557500458866</v>
      </c>
      <c r="AF20" t="n">
        <v>1.661812187643005</v>
      </c>
      <c r="AG20" t="n">
        <v>6.088955351780602</v>
      </c>
      <c r="AH20" t="n">
        <v>0.2148820783251238</v>
      </c>
      <c r="AI20" t="n">
        <v>2.036144638213313</v>
      </c>
      <c r="AJ20" t="n">
        <v>7.495192446985767</v>
      </c>
      <c r="AK20" t="n">
        <v>0.2668776955427293</v>
      </c>
      <c r="AL20" t="n">
        <v>1.258823672411128</v>
      </c>
      <c r="AM20" t="n">
        <v>4.590051173772244</v>
      </c>
      <c r="AN20" t="n">
        <v>0.1605021063576025</v>
      </c>
      <c r="AO20" t="n">
        <v>0.3544423727319921</v>
      </c>
      <c r="AP20" t="n">
        <v>1.176271769396493</v>
      </c>
      <c r="AQ20" t="n">
        <v>0.03370236894550108</v>
      </c>
      <c r="AR20">
        <f>Custom1!$AV$20</f>
        <v/>
      </c>
      <c r="AS20">
        <f>Custom1!$AW$20</f>
        <v/>
      </c>
      <c r="AT20">
        <f>Custom1!$AX$20</f>
        <v/>
      </c>
      <c r="AU20">
        <f>Custom2!$AV$20</f>
        <v/>
      </c>
      <c r="AV20">
        <f>Custom2!$AW$20</f>
        <v/>
      </c>
      <c r="AW20">
        <f>Custom2!$AX$20</f>
        <v/>
      </c>
    </row>
    <row r="21">
      <c r="A21" t="n">
        <v>540</v>
      </c>
      <c r="B21" t="n">
        <v>2.800160205671621</v>
      </c>
      <c r="C21" t="n">
        <v>9.113910886021037</v>
      </c>
      <c r="D21" t="n">
        <v>0.2000678722347131</v>
      </c>
      <c r="E21" t="n">
        <v>2.806713586442601</v>
      </c>
      <c r="F21" t="n">
        <v>9.151974780810598</v>
      </c>
      <c r="G21" t="n">
        <v>0.2017555562344141</v>
      </c>
      <c r="H21" t="n">
        <v>2.887884283829755</v>
      </c>
      <c r="I21" t="n">
        <v>9.425173819446627</v>
      </c>
      <c r="J21" t="n">
        <v>0.2081875574386979</v>
      </c>
      <c r="K21" t="n">
        <v>2.333476925701925</v>
      </c>
      <c r="L21" t="n">
        <v>7.579823147338756</v>
      </c>
      <c r="M21" t="n">
        <v>0.1656688584104083</v>
      </c>
      <c r="N21" t="n">
        <v>2.728539037374704</v>
      </c>
      <c r="O21" t="n">
        <v>8.897786272232887</v>
      </c>
      <c r="P21" t="n">
        <v>0.196150664860446</v>
      </c>
      <c r="Q21" t="n">
        <v>2.863005002852009</v>
      </c>
      <c r="R21" t="n">
        <v>8.812587442414056</v>
      </c>
      <c r="S21" t="n">
        <v>0.1715598626004713</v>
      </c>
      <c r="T21" t="n">
        <v>8.588616442314544</v>
      </c>
      <c r="U21" t="n">
        <v>25.85527779272808</v>
      </c>
      <c r="V21" t="n">
        <v>0.4660722352284159</v>
      </c>
      <c r="W21" t="n">
        <v>3.28313214534907</v>
      </c>
      <c r="X21" t="n">
        <v>8.317594964841639</v>
      </c>
      <c r="Y21" t="n">
        <v>0.1207192668913666</v>
      </c>
      <c r="Z21" t="n">
        <v>3.346626486563274</v>
      </c>
      <c r="AA21" t="n">
        <v>8.491560523877665</v>
      </c>
      <c r="AB21" t="n">
        <v>0.1238299168954499</v>
      </c>
      <c r="AC21" t="n">
        <v>3.399211951024835</v>
      </c>
      <c r="AD21" t="n">
        <v>8.631573739285402</v>
      </c>
      <c r="AE21" t="n">
        <v>0.1261532362725499</v>
      </c>
      <c r="AF21" t="n">
        <v>2.861499828913102</v>
      </c>
      <c r="AG21" t="n">
        <v>7.237218859268803</v>
      </c>
      <c r="AH21" t="n">
        <v>0.1045195798201969</v>
      </c>
      <c r="AI21" t="n">
        <v>3.234481980055234</v>
      </c>
      <c r="AJ21" t="n">
        <v>8.207569197990265</v>
      </c>
      <c r="AK21" t="n">
        <v>0.1196937978323023</v>
      </c>
      <c r="AL21" t="n">
        <v>3.468287789080308</v>
      </c>
      <c r="AM21" t="n">
        <v>8.380090443648156</v>
      </c>
      <c r="AN21" t="n">
        <v>0.1055317728154626</v>
      </c>
      <c r="AO21" t="n">
        <v>10.38225866746469</v>
      </c>
      <c r="AP21" t="n">
        <v>24.61346148775558</v>
      </c>
      <c r="AQ21" t="n">
        <v>0.284624775471742</v>
      </c>
      <c r="AR21">
        <f>Custom1!$AV$21</f>
        <v/>
      </c>
      <c r="AS21">
        <f>Custom1!$AW$21</f>
        <v/>
      </c>
      <c r="AT21">
        <f>Custom1!$AX$21</f>
        <v/>
      </c>
      <c r="AU21">
        <f>Custom2!$AV$21</f>
        <v/>
      </c>
      <c r="AV21">
        <f>Custom2!$AW$21</f>
        <v/>
      </c>
      <c r="AW21">
        <f>Custom2!$AX$21</f>
        <v/>
      </c>
    </row>
    <row r="22">
      <c r="A22" t="n">
        <v>550</v>
      </c>
      <c r="B22" t="n">
        <v>4.289916608479374</v>
      </c>
      <c r="C22" t="n">
        <v>9.789473910429864</v>
      </c>
      <c r="D22" t="n">
        <v>0.0902031911033255</v>
      </c>
      <c r="E22" t="n">
        <v>4.212880416905491</v>
      </c>
      <c r="F22" t="n">
        <v>9.621794741174906</v>
      </c>
      <c r="G22" t="n">
        <v>0.0888362212690423</v>
      </c>
      <c r="H22" t="n">
        <v>4.256728703090618</v>
      </c>
      <c r="I22" t="n">
        <v>9.728996180175953</v>
      </c>
      <c r="J22" t="n">
        <v>0.08999605712548728</v>
      </c>
      <c r="K22" t="n">
        <v>3.755735266953033</v>
      </c>
      <c r="L22" t="n">
        <v>8.549473064446667</v>
      </c>
      <c r="M22" t="n">
        <v>0.0782849742881135</v>
      </c>
      <c r="N22" t="n">
        <v>4.067716525043111</v>
      </c>
      <c r="O22" t="n">
        <v>9.288613664467352</v>
      </c>
      <c r="P22" t="n">
        <v>0.08574572837709143</v>
      </c>
      <c r="Q22" t="n">
        <v>5.266666063682445</v>
      </c>
      <c r="R22" t="n">
        <v>12.30925552711652</v>
      </c>
      <c r="S22" t="n">
        <v>0.1209696074657781</v>
      </c>
      <c r="T22" t="n">
        <v>9.958028327821848</v>
      </c>
      <c r="U22" t="n">
        <v>24.55592838186959</v>
      </c>
      <c r="V22" t="n">
        <v>0.2714809054128147</v>
      </c>
      <c r="W22" t="n">
        <v>4.756432438526188</v>
      </c>
      <c r="X22" t="n">
        <v>8.859788643203521</v>
      </c>
      <c r="Y22" t="n">
        <v>0.03782398258830727</v>
      </c>
      <c r="Z22" t="n">
        <v>4.749207893951366</v>
      </c>
      <c r="AA22" t="n">
        <v>8.852922994576161</v>
      </c>
      <c r="AB22" t="n">
        <v>0.03794238205457003</v>
      </c>
      <c r="AC22" t="n">
        <v>4.736718043385798</v>
      </c>
      <c r="AD22" t="n">
        <v>8.835304377485889</v>
      </c>
      <c r="AE22" t="n">
        <v>0.03800277193381166</v>
      </c>
      <c r="AF22" t="n">
        <v>4.355455709191787</v>
      </c>
      <c r="AG22" t="n">
        <v>8.095310538988418</v>
      </c>
      <c r="AH22" t="n">
        <v>0.03414699153553996</v>
      </c>
      <c r="AI22" t="n">
        <v>4.558729893953533</v>
      </c>
      <c r="AJ22" t="n">
        <v>8.49654097910701</v>
      </c>
      <c r="AK22" t="n">
        <v>0.03639845232537786</v>
      </c>
      <c r="AL22" t="n">
        <v>6.112548923939842</v>
      </c>
      <c r="AM22" t="n">
        <v>11.62887804245071</v>
      </c>
      <c r="AN22" t="n">
        <v>0.05580931028412073</v>
      </c>
      <c r="AO22" t="n">
        <v>11.6537552203459</v>
      </c>
      <c r="AP22" t="n">
        <v>23.23907500176299</v>
      </c>
      <c r="AQ22" t="n">
        <v>0.1366233016297567</v>
      </c>
      <c r="AR22">
        <f>Custom1!$AV$22</f>
        <v/>
      </c>
      <c r="AS22">
        <f>Custom1!$AW$22</f>
        <v/>
      </c>
      <c r="AT22">
        <f>Custom1!$AX$22</f>
        <v/>
      </c>
      <c r="AU22">
        <f>Custom2!$AV$22</f>
        <v/>
      </c>
      <c r="AV22">
        <f>Custom2!$AW$22</f>
        <v/>
      </c>
      <c r="AW22">
        <f>Custom2!$AX$22</f>
        <v/>
      </c>
    </row>
    <row r="23">
      <c r="A23" t="n">
        <v>560</v>
      </c>
      <c r="B23" t="n">
        <v>5.868810820492281</v>
      </c>
      <c r="C23" t="n">
        <v>9.793920773897591</v>
      </c>
      <c r="D23" t="n">
        <v>0.04027574217425559</v>
      </c>
      <c r="E23" t="n">
        <v>5.658852839585192</v>
      </c>
      <c r="F23" t="n">
        <v>9.446334669300795</v>
      </c>
      <c r="G23" t="n">
        <v>0.03887778965166067</v>
      </c>
      <c r="H23" t="n">
        <v>5.624379116300471</v>
      </c>
      <c r="I23" t="n">
        <v>9.394317202668519</v>
      </c>
      <c r="J23" t="n">
        <v>0.03871839743368472</v>
      </c>
      <c r="K23" t="n">
        <v>5.527430651717125</v>
      </c>
      <c r="L23" t="n">
        <v>9.194283468830026</v>
      </c>
      <c r="M23" t="n">
        <v>0.0375223742168327</v>
      </c>
      <c r="N23" t="n">
        <v>5.566921511237933</v>
      </c>
      <c r="O23" t="n">
        <v>9.284870331168488</v>
      </c>
      <c r="P23" t="n">
        <v>0.03813520798217163</v>
      </c>
      <c r="Q23" t="n">
        <v>6.590341905794499</v>
      </c>
      <c r="R23" t="n">
        <v>10.91612231711537</v>
      </c>
      <c r="S23" t="n">
        <v>0.04409135587396988</v>
      </c>
      <c r="T23" t="n">
        <v>1.459048661194646</v>
      </c>
      <c r="U23" t="n">
        <v>2.573097876143776</v>
      </c>
      <c r="V23" t="n">
        <v>0.01207241260142961</v>
      </c>
      <c r="W23" t="n">
        <v>6.304524831560771</v>
      </c>
      <c r="X23" t="n">
        <v>8.892755325791274</v>
      </c>
      <c r="Y23" t="n">
        <v>0.002453293061620179</v>
      </c>
      <c r="Z23" t="n">
        <v>6.180275835764855</v>
      </c>
      <c r="AA23" t="n">
        <v>8.719800126637526</v>
      </c>
      <c r="AB23" t="n">
        <v>0.002419988561799775</v>
      </c>
      <c r="AC23" t="n">
        <v>6.063135911764273</v>
      </c>
      <c r="AD23" t="n">
        <v>8.559024827367375</v>
      </c>
      <c r="AE23" t="n">
        <v>0.002394645915510097</v>
      </c>
      <c r="AF23" t="n">
        <v>6.21060456646584</v>
      </c>
      <c r="AG23" t="n">
        <v>8.734881252268442</v>
      </c>
      <c r="AH23" t="n">
        <v>0.002311656545695407</v>
      </c>
      <c r="AI23" t="n">
        <v>6.04390675550132</v>
      </c>
      <c r="AJ23" t="n">
        <v>8.520838044309549</v>
      </c>
      <c r="AK23" t="n">
        <v>0.002337987134941846</v>
      </c>
      <c r="AL23" t="n">
        <v>7.38241128071107</v>
      </c>
      <c r="AM23" t="n">
        <v>10.34386841226782</v>
      </c>
      <c r="AN23" t="n">
        <v>0.002570188646168465</v>
      </c>
      <c r="AO23" t="n">
        <v>1.645883813782282</v>
      </c>
      <c r="AP23" t="n">
        <v>2.438660507434492</v>
      </c>
      <c r="AQ23" t="n">
        <v>0.00132643379415135</v>
      </c>
      <c r="AR23">
        <f>Custom1!$AV$23</f>
        <v/>
      </c>
      <c r="AS23">
        <f>Custom1!$AW$23</f>
        <v/>
      </c>
      <c r="AT23">
        <f>Custom1!$AX$23</f>
        <v/>
      </c>
      <c r="AU23">
        <f>Custom2!$AV$23</f>
        <v/>
      </c>
      <c r="AV23">
        <f>Custom2!$AW$23</f>
        <v/>
      </c>
      <c r="AW23">
        <f>Custom2!$AX$23</f>
        <v/>
      </c>
    </row>
    <row r="24">
      <c r="A24" t="n">
        <v>570</v>
      </c>
      <c r="B24" t="n">
        <v>7.300966885581078</v>
      </c>
      <c r="C24" t="n">
        <v>9.118594461886619</v>
      </c>
      <c r="D24" t="n">
        <v>0.02104447417027219</v>
      </c>
      <c r="E24" t="n">
        <v>7.113430326191218</v>
      </c>
      <c r="F24" t="n">
        <v>8.873878941810483</v>
      </c>
      <c r="G24" t="n">
        <v>0.02045301297823829</v>
      </c>
      <c r="H24" t="n">
        <v>6.963967339222014</v>
      </c>
      <c r="I24" t="n">
        <v>8.692424970559973</v>
      </c>
      <c r="J24" t="n">
        <v>0.02004947265635911</v>
      </c>
      <c r="K24" t="n">
        <v>7.576597234214696</v>
      </c>
      <c r="L24" t="n">
        <v>9.427498236461084</v>
      </c>
      <c r="M24" t="n">
        <v>0.02165222929668767</v>
      </c>
      <c r="N24" t="n">
        <v>7.124265142730727</v>
      </c>
      <c r="O24" t="n">
        <v>8.88573741817717</v>
      </c>
      <c r="P24" t="n">
        <v>0.02047135397815962</v>
      </c>
      <c r="Q24" t="n">
        <v>9.968349868857029</v>
      </c>
      <c r="R24" t="n">
        <v>12.34315405284095</v>
      </c>
      <c r="S24" t="n">
        <v>0.02819669446106245</v>
      </c>
      <c r="T24" t="n">
        <v>1.298923741524148</v>
      </c>
      <c r="U24" t="n">
        <v>1.56282933779639</v>
      </c>
      <c r="V24" t="n">
        <v>0.003479458361506176</v>
      </c>
      <c r="W24" t="n">
        <v>7.611401624828263</v>
      </c>
      <c r="X24" t="n">
        <v>8.287230145927374</v>
      </c>
      <c r="Y24" t="n">
        <v>0</v>
      </c>
      <c r="Z24" t="n">
        <v>7.538047767876085</v>
      </c>
      <c r="AA24" t="n">
        <v>8.198823706261132</v>
      </c>
      <c r="AB24" t="n">
        <v>0</v>
      </c>
      <c r="AC24" t="n">
        <v>7.284313428993317</v>
      </c>
      <c r="AD24" t="n">
        <v>7.926887038265173</v>
      </c>
      <c r="AE24" t="n">
        <v>0</v>
      </c>
      <c r="AF24" t="n">
        <v>8.260162850095602</v>
      </c>
      <c r="AG24" t="n">
        <v>8.963796852708779</v>
      </c>
      <c r="AH24" t="n">
        <v>0</v>
      </c>
      <c r="AI24" t="n">
        <v>7.505354440564038</v>
      </c>
      <c r="AJ24" t="n">
        <v>8.161865942603553</v>
      </c>
      <c r="AK24" t="n">
        <v>0</v>
      </c>
      <c r="AL24" t="n">
        <v>10.8315991816453</v>
      </c>
      <c r="AM24" t="n">
        <v>11.70383115518042</v>
      </c>
      <c r="AN24" t="n">
        <v>0</v>
      </c>
      <c r="AO24" t="n">
        <v>1.407262598459994</v>
      </c>
      <c r="AP24" t="n">
        <v>1.482759613658748</v>
      </c>
      <c r="AQ24" t="n">
        <v>0</v>
      </c>
      <c r="AR24">
        <f>Custom1!$AV$24</f>
        <v/>
      </c>
      <c r="AS24">
        <f>Custom1!$AW$24</f>
        <v/>
      </c>
      <c r="AT24">
        <f>Custom1!$AX$24</f>
        <v/>
      </c>
      <c r="AU24">
        <f>Custom2!$AV$24</f>
        <v/>
      </c>
      <c r="AV24">
        <f>Custom2!$AW$24</f>
        <v/>
      </c>
      <c r="AW24">
        <f>Custom2!$AX$24</f>
        <v/>
      </c>
    </row>
    <row r="25">
      <c r="A25" t="n">
        <v>580</v>
      </c>
      <c r="B25" t="n">
        <v>8.382555258976447</v>
      </c>
      <c r="C25" t="n">
        <v>7.977656741778481</v>
      </c>
      <c r="D25" t="n">
        <v>0.014948313959252</v>
      </c>
      <c r="E25" t="n">
        <v>8.527162829682272</v>
      </c>
      <c r="F25" t="n">
        <v>8.108096917664158</v>
      </c>
      <c r="G25" t="n">
        <v>0.01518769273957286</v>
      </c>
      <c r="H25" t="n">
        <v>8.203049179501191</v>
      </c>
      <c r="I25" t="n">
        <v>7.80471688379173</v>
      </c>
      <c r="J25" t="n">
        <v>0.01462396678280569</v>
      </c>
      <c r="K25" t="n">
        <v>9.699690164324673</v>
      </c>
      <c r="L25" t="n">
        <v>9.197267035112546</v>
      </c>
      <c r="M25" t="n">
        <v>0.01720178830108445</v>
      </c>
      <c r="N25" t="n">
        <v>8.54813554628592</v>
      </c>
      <c r="O25" t="n">
        <v>8.1223313835402</v>
      </c>
      <c r="P25" t="n">
        <v>0.01520729152663286</v>
      </c>
      <c r="Q25" t="n">
        <v>13.44279593956701</v>
      </c>
      <c r="R25" t="n">
        <v>12.81514749232407</v>
      </c>
      <c r="S25" t="n">
        <v>0.02405085494181176</v>
      </c>
      <c r="T25" t="n">
        <v>6.63315742823163</v>
      </c>
      <c r="U25" t="n">
        <v>6.100920674725724</v>
      </c>
      <c r="V25" t="n">
        <v>0.01124566133111786</v>
      </c>
      <c r="W25" t="n">
        <v>8.430077314840034</v>
      </c>
      <c r="X25" t="n">
        <v>7.243893451615706</v>
      </c>
      <c r="Y25" t="n">
        <v>0</v>
      </c>
      <c r="Z25" t="n">
        <v>8.717195645797821</v>
      </c>
      <c r="AA25" t="n">
        <v>7.484900822553813</v>
      </c>
      <c r="AB25" t="n">
        <v>0</v>
      </c>
      <c r="AC25" t="n">
        <v>8.27742516669969</v>
      </c>
      <c r="AD25" t="n">
        <v>7.111030732540852</v>
      </c>
      <c r="AE25" t="n">
        <v>0</v>
      </c>
      <c r="AF25" t="n">
        <v>10.20196245200001</v>
      </c>
      <c r="AG25" t="n">
        <v>8.738989877477433</v>
      </c>
      <c r="AH25" t="n">
        <v>0</v>
      </c>
      <c r="AI25" t="n">
        <v>8.687158720310563</v>
      </c>
      <c r="AJ25" t="n">
        <v>7.45469876696573</v>
      </c>
      <c r="AK25" t="n">
        <v>0</v>
      </c>
      <c r="AL25" t="n">
        <v>14.10742761304569</v>
      </c>
      <c r="AM25" t="n">
        <v>12.13929755440241</v>
      </c>
      <c r="AN25" t="n">
        <v>0</v>
      </c>
      <c r="AO25" t="n">
        <v>6.94390517333937</v>
      </c>
      <c r="AP25" t="n">
        <v>5.795011030629881</v>
      </c>
      <c r="AQ25" t="n">
        <v>0</v>
      </c>
      <c r="AR25">
        <f>Custom1!$AV$25</f>
        <v/>
      </c>
      <c r="AS25">
        <f>Custom1!$AW$25</f>
        <v/>
      </c>
      <c r="AT25">
        <f>Custom1!$AX$25</f>
        <v/>
      </c>
      <c r="AU25">
        <f>Custom2!$AV$25</f>
        <v/>
      </c>
      <c r="AV25">
        <f>Custom2!$AW$25</f>
        <v/>
      </c>
      <c r="AW25">
        <f>Custom2!$AX$25</f>
        <v/>
      </c>
    </row>
    <row r="26">
      <c r="A26" t="n">
        <v>590</v>
      </c>
      <c r="B26" t="n">
        <v>8.94820981245617</v>
      </c>
      <c r="C26" t="n">
        <v>6.630884313205478</v>
      </c>
      <c r="D26" t="n">
        <v>0.01009360824984761</v>
      </c>
      <c r="E26" t="n">
        <v>9.213481207783031</v>
      </c>
      <c r="F26" t="n">
        <v>6.819907595155265</v>
      </c>
      <c r="G26" t="n">
        <v>0.01037748267525698</v>
      </c>
      <c r="H26" t="n">
        <v>8.675623944598366</v>
      </c>
      <c r="I26" t="n">
        <v>6.426665589082193</v>
      </c>
      <c r="J26" t="n">
        <v>0.009784588495945849</v>
      </c>
      <c r="K26" t="n">
        <v>11.53697048268346</v>
      </c>
      <c r="L26" t="n">
        <v>8.522625367543396</v>
      </c>
      <c r="M26" t="n">
        <v>0.01294094099248236</v>
      </c>
      <c r="N26" t="n">
        <v>9.563982620264994</v>
      </c>
      <c r="O26" t="n">
        <v>7.077707434826112</v>
      </c>
      <c r="P26" t="n">
        <v>0.01076208323423249</v>
      </c>
      <c r="Q26" t="n">
        <v>12.96187411598516</v>
      </c>
      <c r="R26" t="n">
        <v>9.616012587208209</v>
      </c>
      <c r="S26" t="n">
        <v>0.01464780201299277</v>
      </c>
      <c r="T26" t="n">
        <v>8.685155617857802</v>
      </c>
      <c r="U26" t="n">
        <v>6.503731241397129</v>
      </c>
      <c r="V26" t="n">
        <v>0.009973263465284904</v>
      </c>
      <c r="W26" t="n">
        <v>8.820234637419299</v>
      </c>
      <c r="X26" t="n">
        <v>6.158623402219065</v>
      </c>
      <c r="Y26" t="n">
        <v>0</v>
      </c>
      <c r="Z26" t="n">
        <v>9.231561588525336</v>
      </c>
      <c r="AA26" t="n">
        <v>6.440186708865768</v>
      </c>
      <c r="AB26" t="n">
        <v>0</v>
      </c>
      <c r="AC26" t="n">
        <v>8.580338356659823</v>
      </c>
      <c r="AD26" t="n">
        <v>5.989517780934219</v>
      </c>
      <c r="AE26" t="n">
        <v>0</v>
      </c>
      <c r="AF26" t="n">
        <v>11.89449154451009</v>
      </c>
      <c r="AG26" t="n">
        <v>8.284472638831561</v>
      </c>
      <c r="AH26" t="n">
        <v>0</v>
      </c>
      <c r="AI26" t="n">
        <v>9.526901124273939</v>
      </c>
      <c r="AJ26" t="n">
        <v>6.644910885616669</v>
      </c>
      <c r="AK26" t="n">
        <v>0</v>
      </c>
      <c r="AL26" t="n">
        <v>13.3335859416072</v>
      </c>
      <c r="AM26" t="n">
        <v>9.318428176687185</v>
      </c>
      <c r="AN26" t="n">
        <v>0</v>
      </c>
      <c r="AO26" t="n">
        <v>8.953930790567345</v>
      </c>
      <c r="AP26" t="n">
        <v>6.304545003669769</v>
      </c>
      <c r="AQ26" t="n">
        <v>0</v>
      </c>
      <c r="AR26">
        <f>Custom1!$AV$26</f>
        <v/>
      </c>
      <c r="AS26">
        <f>Custom1!$AW$26</f>
        <v/>
      </c>
      <c r="AT26">
        <f>Custom1!$AX$26</f>
        <v/>
      </c>
      <c r="AU26">
        <f>Custom2!$AV$26</f>
        <v/>
      </c>
      <c r="AV26">
        <f>Custom2!$AW$26</f>
        <v/>
      </c>
      <c r="AW26">
        <f>Custom2!$AX$26</f>
        <v/>
      </c>
    </row>
    <row r="27">
      <c r="A27" t="n">
        <v>600</v>
      </c>
      <c r="B27" t="n">
        <v>8.918839958263833</v>
      </c>
      <c r="C27" t="n">
        <v>5.328765009867229</v>
      </c>
      <c r="D27" t="n">
        <v>0.006763432759977865</v>
      </c>
      <c r="E27" t="n">
        <v>9.795607877430276</v>
      </c>
      <c r="F27" t="n">
        <v>5.844533691028085</v>
      </c>
      <c r="G27" t="n">
        <v>0.007402573783559761</v>
      </c>
      <c r="H27" t="n">
        <v>8.978629570388911</v>
      </c>
      <c r="I27" t="n">
        <v>5.360284681856636</v>
      </c>
      <c r="J27" t="n">
        <v>0.006795446003417881</v>
      </c>
      <c r="K27" t="n">
        <v>12.63685238112991</v>
      </c>
      <c r="L27" t="n">
        <v>7.534988525191903</v>
      </c>
      <c r="M27" t="n">
        <v>0.009534088991312353</v>
      </c>
      <c r="N27" t="n">
        <v>9.888716783941401</v>
      </c>
      <c r="O27" t="n">
        <v>5.904406403963592</v>
      </c>
      <c r="P27" t="n">
        <v>0.007486666597726946</v>
      </c>
      <c r="Q27" t="n">
        <v>11.91392178667034</v>
      </c>
      <c r="R27" t="n">
        <v>7.13968254576938</v>
      </c>
      <c r="S27" t="n">
        <v>0.009104079863533062</v>
      </c>
      <c r="T27" t="n">
        <v>6.151518125662118</v>
      </c>
      <c r="U27" t="n">
        <v>3.675830058008176</v>
      </c>
      <c r="V27" t="n">
        <v>0.004661360941658584</v>
      </c>
      <c r="W27" t="n">
        <v>8.551594699973585</v>
      </c>
      <c r="X27" t="n">
        <v>5.034249895832821</v>
      </c>
      <c r="Y27" t="n">
        <v>0</v>
      </c>
      <c r="Z27" t="n">
        <v>9.546522165131966</v>
      </c>
      <c r="AA27" t="n">
        <v>5.613821785614598</v>
      </c>
      <c r="AB27" t="n">
        <v>0</v>
      </c>
      <c r="AC27" t="n">
        <v>8.637412928659639</v>
      </c>
      <c r="AD27" t="n">
        <v>5.081616502214126</v>
      </c>
      <c r="AE27" t="n">
        <v>0</v>
      </c>
      <c r="AF27" t="n">
        <v>12.67302051978095</v>
      </c>
      <c r="AG27" t="n">
        <v>7.448650391628324</v>
      </c>
      <c r="AH27" t="n">
        <v>0</v>
      </c>
      <c r="AI27" t="n">
        <v>9.582061334038745</v>
      </c>
      <c r="AJ27" t="n">
        <v>5.637984186206467</v>
      </c>
      <c r="AK27" t="n">
        <v>0</v>
      </c>
      <c r="AL27" t="n">
        <v>11.9256523252583</v>
      </c>
      <c r="AM27" t="n">
        <v>7.037181055288328</v>
      </c>
      <c r="AN27" t="n">
        <v>0</v>
      </c>
      <c r="AO27" t="n">
        <v>6.161731358628552</v>
      </c>
      <c r="AP27" t="n">
        <v>3.627989829158165</v>
      </c>
      <c r="AQ27" t="n">
        <v>0</v>
      </c>
      <c r="AR27">
        <f>Custom1!$AV$27</f>
        <v/>
      </c>
      <c r="AS27">
        <f>Custom1!$AW$27</f>
        <v/>
      </c>
      <c r="AT27">
        <f>Custom1!$AX$27</f>
        <v/>
      </c>
      <c r="AU27">
        <f>Custom2!$AV$27</f>
        <v/>
      </c>
      <c r="AV27">
        <f>Custom2!$AW$27</f>
        <v/>
      </c>
      <c r="AW27">
        <f>Custom2!$AX$27</f>
        <v/>
      </c>
    </row>
    <row r="28">
      <c r="A28" t="n">
        <v>610</v>
      </c>
      <c r="B28" t="n">
        <v>8.286409097988816</v>
      </c>
      <c r="C28" t="n">
        <v>4.184055928946008</v>
      </c>
      <c r="D28" t="n">
        <v>0.003159975495364074</v>
      </c>
      <c r="E28" t="n">
        <v>9.404706503942698</v>
      </c>
      <c r="F28" t="n">
        <v>4.747441831080297</v>
      </c>
      <c r="G28" t="n">
        <v>0.003579972043739929</v>
      </c>
      <c r="H28" t="n">
        <v>8.43996796514611</v>
      </c>
      <c r="I28" t="n">
        <v>4.261948022052167</v>
      </c>
      <c r="J28" t="n">
        <v>0.003219483905660834</v>
      </c>
      <c r="K28" t="n">
        <v>12.59355580981928</v>
      </c>
      <c r="L28" t="n">
        <v>6.351983795849156</v>
      </c>
      <c r="M28" t="n">
        <v>0.004771541915105846</v>
      </c>
      <c r="N28" t="n">
        <v>9.333065747391354</v>
      </c>
      <c r="O28" t="n">
        <v>4.711920789944396</v>
      </c>
      <c r="P28" t="n">
        <v>0.003556166633920299</v>
      </c>
      <c r="Q28" t="n">
        <v>9.420632749950835</v>
      </c>
      <c r="R28" t="n">
        <v>4.77350538240033</v>
      </c>
      <c r="S28" t="n">
        <v>0.003666970382242713</v>
      </c>
      <c r="T28" t="n">
        <v>27.48114870771688</v>
      </c>
      <c r="U28" t="n">
        <v>13.64211514154635</v>
      </c>
      <c r="V28" t="n">
        <v>0.009157918015885341</v>
      </c>
      <c r="W28" t="n">
        <v>7.719969133841414</v>
      </c>
      <c r="X28" t="n">
        <v>3.975694773104943</v>
      </c>
      <c r="Y28" t="n">
        <v>0</v>
      </c>
      <c r="Z28" t="n">
        <v>8.907156724509965</v>
      </c>
      <c r="AA28" t="n">
        <v>4.586083671705052</v>
      </c>
      <c r="AB28" t="n">
        <v>0</v>
      </c>
      <c r="AC28" t="n">
        <v>7.890129309781104</v>
      </c>
      <c r="AD28" t="n">
        <v>4.063601106517686</v>
      </c>
      <c r="AE28" t="n">
        <v>0</v>
      </c>
      <c r="AF28" t="n">
        <v>12.27282336600138</v>
      </c>
      <c r="AG28" t="n">
        <v>6.314814190429971</v>
      </c>
      <c r="AH28" t="n">
        <v>0</v>
      </c>
      <c r="AI28" t="n">
        <v>8.78791717962376</v>
      </c>
      <c r="AJ28" t="n">
        <v>4.525190172002135</v>
      </c>
      <c r="AK28" t="n">
        <v>0</v>
      </c>
      <c r="AL28" t="n">
        <v>9.164505212929136</v>
      </c>
      <c r="AM28" t="n">
        <v>4.733083978994368</v>
      </c>
      <c r="AN28" t="n">
        <v>0</v>
      </c>
      <c r="AO28" t="n">
        <v>26.67279631511108</v>
      </c>
      <c r="AP28" t="n">
        <v>13.54811254876819</v>
      </c>
      <c r="AQ28" t="n">
        <v>0</v>
      </c>
      <c r="AR28">
        <f>Custom1!$AV$28</f>
        <v/>
      </c>
      <c r="AS28">
        <f>Custom1!$AW$28</f>
        <v/>
      </c>
      <c r="AT28">
        <f>Custom1!$AX$28</f>
        <v/>
      </c>
      <c r="AU28">
        <f>Custom2!$AV$28</f>
        <v/>
      </c>
      <c r="AV28">
        <f>Custom2!$AW$28</f>
        <v/>
      </c>
      <c r="AW28">
        <f>Custom2!$AX$28</f>
        <v/>
      </c>
    </row>
    <row r="29">
      <c r="A29" t="n">
        <v>620</v>
      </c>
      <c r="B29" t="n">
        <v>7.032099805275387</v>
      </c>
      <c r="C29" t="n">
        <v>3.153712819334247</v>
      </c>
      <c r="D29" t="n">
        <v>0.001489862807155623</v>
      </c>
      <c r="E29" t="n">
        <v>7.986249778657591</v>
      </c>
      <c r="F29" t="n">
        <v>3.582243157255028</v>
      </c>
      <c r="G29" t="n">
        <v>0.001694298667549563</v>
      </c>
      <c r="H29" t="n">
        <v>7.033420019030664</v>
      </c>
      <c r="I29" t="n">
        <v>3.155538035445944</v>
      </c>
      <c r="J29" t="n">
        <v>0.001494013439247821</v>
      </c>
      <c r="K29" t="n">
        <v>11.29396602619796</v>
      </c>
      <c r="L29" t="n">
        <v>5.061903670105975</v>
      </c>
      <c r="M29" t="n">
        <v>0.002384152720693753</v>
      </c>
      <c r="N29" t="n">
        <v>7.951541801779554</v>
      </c>
      <c r="O29" t="n">
        <v>3.565992883829816</v>
      </c>
      <c r="P29" t="n">
        <v>0.001684499984488563</v>
      </c>
      <c r="Q29" t="n">
        <v>6.413508216375407</v>
      </c>
      <c r="R29" t="n">
        <v>2.884685757782836</v>
      </c>
      <c r="S29" t="n">
        <v>0.001381730230451143</v>
      </c>
      <c r="T29" t="n">
        <v>12.35666990446813</v>
      </c>
      <c r="U29" t="n">
        <v>5.643800984438445</v>
      </c>
      <c r="V29" t="n">
        <v>0.002824750581480694</v>
      </c>
      <c r="W29" t="n">
        <v>6.409650132197495</v>
      </c>
      <c r="X29" t="n">
        <v>2.995550409939823</v>
      </c>
      <c r="Y29" t="n">
        <v>0</v>
      </c>
      <c r="Z29" t="n">
        <v>7.400479167160328</v>
      </c>
      <c r="AA29" t="n">
        <v>3.459087828762342</v>
      </c>
      <c r="AB29" t="n">
        <v>0</v>
      </c>
      <c r="AC29" t="n">
        <v>6.432990371853767</v>
      </c>
      <c r="AD29" t="n">
        <v>3.007400408311943</v>
      </c>
      <c r="AE29" t="n">
        <v>0</v>
      </c>
      <c r="AF29" t="n">
        <v>10.76979723214315</v>
      </c>
      <c r="AG29" t="n">
        <v>5.030740002889738</v>
      </c>
      <c r="AH29" t="n">
        <v>0</v>
      </c>
      <c r="AI29" t="n">
        <v>7.325258712955869</v>
      </c>
      <c r="AJ29" t="n">
        <v>3.423408912964132</v>
      </c>
      <c r="AK29" t="n">
        <v>0</v>
      </c>
      <c r="AL29" t="n">
        <v>6.101713284884844</v>
      </c>
      <c r="AM29" t="n">
        <v>2.858363240967573</v>
      </c>
      <c r="AN29" t="n">
        <v>0</v>
      </c>
      <c r="AO29" t="n">
        <v>11.80056069981895</v>
      </c>
      <c r="AP29" t="n">
        <v>5.598193185546201</v>
      </c>
      <c r="AQ29" t="n">
        <v>0</v>
      </c>
      <c r="AR29">
        <f>Custom1!$AV$29</f>
        <v/>
      </c>
      <c r="AS29">
        <f>Custom1!$AW$29</f>
        <v/>
      </c>
      <c r="AT29">
        <f>Custom1!$AX$29</f>
        <v/>
      </c>
      <c r="AU29">
        <f>Custom2!$AV$29</f>
        <v/>
      </c>
      <c r="AV29">
        <f>Custom2!$AW$29</f>
        <v/>
      </c>
      <c r="AW29">
        <f>Custom2!$AX$29</f>
        <v/>
      </c>
    </row>
    <row r="30">
      <c r="A30" t="n">
        <v>630</v>
      </c>
      <c r="B30" t="n">
        <v>5.326487254739612</v>
      </c>
      <c r="C30" t="n">
        <v>2.206581267546187</v>
      </c>
      <c r="D30" t="n">
        <v>0.0004752985829679415</v>
      </c>
      <c r="E30" t="n">
        <v>5.924997664305732</v>
      </c>
      <c r="F30" t="n">
        <v>2.454584962558056</v>
      </c>
      <c r="G30" t="n">
        <v>0.0005292019875824104</v>
      </c>
      <c r="H30" t="n">
        <v>5.121813186276507</v>
      </c>
      <c r="I30" t="n">
        <v>2.122225975497113</v>
      </c>
      <c r="J30" t="n">
        <v>0.0004585628141983154</v>
      </c>
      <c r="K30" t="n">
        <v>8.992651267396475</v>
      </c>
      <c r="L30" t="n">
        <v>3.723849888530816</v>
      </c>
      <c r="M30" t="n">
        <v>0.0007979881853457228</v>
      </c>
      <c r="N30" t="n">
        <v>6.031679736124951</v>
      </c>
      <c r="O30" t="n">
        <v>2.498674976991369</v>
      </c>
      <c r="P30" t="n">
        <v>0.0005381041617116243</v>
      </c>
      <c r="Q30" t="n">
        <v>3.758085966830411</v>
      </c>
      <c r="R30" t="n">
        <v>1.560275715681786</v>
      </c>
      <c r="S30" t="n">
        <v>0.0003456886738880165</v>
      </c>
      <c r="T30" t="n">
        <v>4.850748963293374</v>
      </c>
      <c r="U30" t="n">
        <v>2.020098942915419</v>
      </c>
      <c r="V30" t="n">
        <v>0.0004602112141411129</v>
      </c>
      <c r="W30" t="n">
        <v>4.840110439836396</v>
      </c>
      <c r="X30" t="n">
        <v>2.124820764163315</v>
      </c>
      <c r="Y30" t="n">
        <v>0</v>
      </c>
      <c r="Z30" t="n">
        <v>5.473283949054741</v>
      </c>
      <c r="AA30" t="n">
        <v>2.402818111570051</v>
      </c>
      <c r="AB30" t="n">
        <v>0</v>
      </c>
      <c r="AC30" t="n">
        <v>4.670086902054391</v>
      </c>
      <c r="AD30" t="n">
        <v>2.050507693626912</v>
      </c>
      <c r="AE30" t="n">
        <v>0</v>
      </c>
      <c r="AF30" t="n">
        <v>8.548664179141078</v>
      </c>
      <c r="AG30" t="n">
        <v>3.751663775873526</v>
      </c>
      <c r="AH30" t="n">
        <v>0</v>
      </c>
      <c r="AI30" t="n">
        <v>5.539537998312706</v>
      </c>
      <c r="AJ30" t="n">
        <v>2.43183663868854</v>
      </c>
      <c r="AK30" t="n">
        <v>0</v>
      </c>
      <c r="AL30" t="n">
        <v>3.565124414337091</v>
      </c>
      <c r="AM30" t="n">
        <v>1.567880772034525</v>
      </c>
      <c r="AN30" t="n">
        <v>0</v>
      </c>
      <c r="AO30" t="n">
        <v>4.615043503925743</v>
      </c>
      <c r="AP30" t="n">
        <v>2.034867472710542</v>
      </c>
      <c r="AQ30" t="n">
        <v>0</v>
      </c>
      <c r="AR30">
        <f>Custom1!$AV$30</f>
        <v/>
      </c>
      <c r="AS30">
        <f>Custom1!$AW$30</f>
        <v/>
      </c>
      <c r="AT30">
        <f>Custom1!$AX$30</f>
        <v/>
      </c>
      <c r="AU30">
        <f>Custom2!$AV$30</f>
        <v/>
      </c>
      <c r="AV30">
        <f>Custom2!$AW$30</f>
        <v/>
      </c>
      <c r="AW30">
        <f>Custom2!$AX$30</f>
        <v/>
      </c>
    </row>
    <row r="31">
      <c r="A31" t="n">
        <v>640</v>
      </c>
      <c r="B31" t="n">
        <v>3.710224770300212</v>
      </c>
      <c r="C31" t="n">
        <v>1.454787716902219</v>
      </c>
      <c r="D31" t="n">
        <v>0.0001650177282417474</v>
      </c>
      <c r="E31" t="n">
        <v>4.199056741350922</v>
      </c>
      <c r="F31" t="n">
        <v>1.646424293494157</v>
      </c>
      <c r="G31" t="n">
        <v>0.0001867893911351899</v>
      </c>
      <c r="H31" t="n">
        <v>3.542996222866791</v>
      </c>
      <c r="I31" t="n">
        <v>1.389345036025858</v>
      </c>
      <c r="J31" t="n">
        <v>0.0001578319660167214</v>
      </c>
      <c r="K31" t="n">
        <v>6.568217544949951</v>
      </c>
      <c r="L31" t="n">
        <v>2.574786935848973</v>
      </c>
      <c r="M31" t="n">
        <v>0.0002911820741126722</v>
      </c>
      <c r="N31" t="n">
        <v>4.207740586253723</v>
      </c>
      <c r="O31" t="n">
        <v>1.649874151474076</v>
      </c>
      <c r="P31" t="n">
        <v>0.0001871666649431737</v>
      </c>
      <c r="Q31" t="n">
        <v>1.976935916878057</v>
      </c>
      <c r="R31" t="n">
        <v>0.7764362946870756</v>
      </c>
      <c r="S31" t="n">
        <v>8.986266376926952e-05</v>
      </c>
      <c r="T31" t="n">
        <v>0.9335847114657287</v>
      </c>
      <c r="U31" t="n">
        <v>0.3682574176487063</v>
      </c>
      <c r="V31" t="n">
        <v>4.430854081906237e-05</v>
      </c>
      <c r="W31" t="n">
        <v>3.256684565896296</v>
      </c>
      <c r="X31" t="n">
        <v>1.361272190448833</v>
      </c>
      <c r="Y31" t="n">
        <v>0</v>
      </c>
      <c r="Z31" t="n">
        <v>3.746941179668303</v>
      </c>
      <c r="AA31" t="n">
        <v>1.566168233658041</v>
      </c>
      <c r="AB31" t="n">
        <v>0</v>
      </c>
      <c r="AC31" t="n">
        <v>3.120748532100231</v>
      </c>
      <c r="AD31" t="n">
        <v>1.304575663566326</v>
      </c>
      <c r="AE31" t="n">
        <v>0</v>
      </c>
      <c r="AF31" t="n">
        <v>6.030758233729735</v>
      </c>
      <c r="AG31" t="n">
        <v>2.520204849985517</v>
      </c>
      <c r="AH31" t="n">
        <v>0</v>
      </c>
      <c r="AI31" t="n">
        <v>3.732923264819239</v>
      </c>
      <c r="AJ31" t="n">
        <v>1.560346040954163</v>
      </c>
      <c r="AK31" t="n">
        <v>0</v>
      </c>
      <c r="AL31" t="n">
        <v>1.813217573976085</v>
      </c>
      <c r="AM31" t="n">
        <v>0.7591544042297328</v>
      </c>
      <c r="AN31" t="n">
        <v>0</v>
      </c>
      <c r="AO31" t="n">
        <v>0.8609736198561113</v>
      </c>
      <c r="AP31" t="n">
        <v>0.3619838910695329</v>
      </c>
      <c r="AQ31" t="n">
        <v>0</v>
      </c>
      <c r="AR31">
        <f>Custom1!$AV$31</f>
        <v/>
      </c>
      <c r="AS31">
        <f>Custom1!$AW$31</f>
        <v/>
      </c>
      <c r="AT31">
        <f>Custom1!$AX$31</f>
        <v/>
      </c>
      <c r="AU31">
        <f>Custom2!$AV$31</f>
        <v/>
      </c>
      <c r="AV31">
        <f>Custom2!$AW$31</f>
        <v/>
      </c>
      <c r="AW31">
        <f>Custom2!$AX$31</f>
        <v/>
      </c>
    </row>
    <row r="32">
      <c r="A32" t="n">
        <v>650</v>
      </c>
      <c r="B32" t="n">
        <v>2.372654515647906</v>
      </c>
      <c r="C32" t="n">
        <v>0.8977304891479408</v>
      </c>
      <c r="D32" t="n">
        <v>2.066097003001174e-05</v>
      </c>
      <c r="E32" t="n">
        <v>2.631720619856888</v>
      </c>
      <c r="F32" t="n">
        <v>0.9957906848491956</v>
      </c>
      <c r="G32" t="n">
        <v>2.315696975992068e-05</v>
      </c>
      <c r="H32" t="n">
        <v>2.186792840022477</v>
      </c>
      <c r="I32" t="n">
        <v>0.8274851305413581</v>
      </c>
      <c r="J32" t="n">
        <v>1.936710313183465e-05</v>
      </c>
      <c r="K32" t="n">
        <v>4.37227454337851</v>
      </c>
      <c r="L32" t="n">
        <v>1.654103123552252</v>
      </c>
      <c r="M32" t="n">
        <v>3.742427613770055e-05</v>
      </c>
      <c r="N32" t="n">
        <v>2.682332266966857</v>
      </c>
      <c r="O32" t="n">
        <v>1.014911240654359</v>
      </c>
      <c r="P32" t="n">
        <v>2.339583311789671e-05</v>
      </c>
      <c r="Q32" t="n">
        <v>0.9377062249208593</v>
      </c>
      <c r="R32" t="n">
        <v>0.3551441452811659</v>
      </c>
      <c r="S32" t="n">
        <v>9.271409163350436e-06</v>
      </c>
      <c r="T32" t="n">
        <v>0.6031457859403909</v>
      </c>
      <c r="U32" t="n">
        <v>0.2279668449036987</v>
      </c>
      <c r="V32" t="n">
        <v>3.995452235707357e-06</v>
      </c>
      <c r="W32" t="n">
        <v>2.034241929167659</v>
      </c>
      <c r="X32" t="n">
        <v>0.8189488837131206</v>
      </c>
      <c r="Y32" t="n">
        <v>0</v>
      </c>
      <c r="Z32" t="n">
        <v>2.293918348404341</v>
      </c>
      <c r="AA32" t="n">
        <v>0.9235343086657712</v>
      </c>
      <c r="AB32" t="n">
        <v>0</v>
      </c>
      <c r="AC32" t="n">
        <v>1.881412905195295</v>
      </c>
      <c r="AD32" t="n">
        <v>0.7575011126650025</v>
      </c>
      <c r="AE32" t="n">
        <v>0</v>
      </c>
      <c r="AF32" t="n">
        <v>3.921689179740595</v>
      </c>
      <c r="AG32" t="n">
        <v>1.578593155928217</v>
      </c>
      <c r="AH32" t="n">
        <v>0</v>
      </c>
      <c r="AI32" t="n">
        <v>2.324374949532908</v>
      </c>
      <c r="AJ32" t="n">
        <v>0.9357605997179158</v>
      </c>
      <c r="AK32" t="n">
        <v>0</v>
      </c>
      <c r="AL32" t="n">
        <v>0.8394824806064979</v>
      </c>
      <c r="AM32" t="n">
        <v>0.3383004998746451</v>
      </c>
      <c r="AN32" t="n">
        <v>0</v>
      </c>
      <c r="AO32" t="n">
        <v>0.5400614563993854</v>
      </c>
      <c r="AP32" t="n">
        <v>0.2171488051732564</v>
      </c>
      <c r="AQ32" t="n">
        <v>0</v>
      </c>
      <c r="AR32">
        <f>Custom1!$AV$32</f>
        <v/>
      </c>
      <c r="AS32">
        <f>Custom1!$AW$32</f>
        <v/>
      </c>
      <c r="AT32">
        <f>Custom1!$AX$32</f>
        <v/>
      </c>
      <c r="AU32">
        <f>Custom2!$AV$32</f>
        <v/>
      </c>
      <c r="AV32">
        <f>Custom2!$AW$32</f>
        <v/>
      </c>
      <c r="AW32">
        <f>Custom2!$AX$32</f>
        <v/>
      </c>
    </row>
    <row r="33">
      <c r="A33" t="n">
        <v>660</v>
      </c>
      <c r="B33" t="n">
        <v>1.381855267570708</v>
      </c>
      <c r="C33" t="n">
        <v>0.5121024791254731</v>
      </c>
      <c r="D33" t="n">
        <v>0</v>
      </c>
      <c r="E33" t="n">
        <v>1.566091710086036</v>
      </c>
      <c r="F33" t="n">
        <v>0.5803324334197953</v>
      </c>
      <c r="G33" t="n">
        <v>0</v>
      </c>
      <c r="H33" t="n">
        <v>1.27337021272194</v>
      </c>
      <c r="I33" t="n">
        <v>0.4718810284271202</v>
      </c>
      <c r="J33" t="n">
        <v>0</v>
      </c>
      <c r="K33" t="n">
        <v>2.660520281236836</v>
      </c>
      <c r="L33" t="n">
        <v>0.985875034239161</v>
      </c>
      <c r="M33" t="n">
        <v>0</v>
      </c>
      <c r="N33" t="n">
        <v>1.566818943905542</v>
      </c>
      <c r="O33" t="n">
        <v>0.5806377863199605</v>
      </c>
      <c r="P33" t="n">
        <v>0</v>
      </c>
      <c r="Q33" t="n">
        <v>0.4056431035009486</v>
      </c>
      <c r="R33" t="n">
        <v>0.150406638898946</v>
      </c>
      <c r="S33" t="n">
        <v>0</v>
      </c>
      <c r="T33" t="n">
        <v>0.296339448151796</v>
      </c>
      <c r="U33" t="n">
        <v>0.1098881180594137</v>
      </c>
      <c r="V33" t="n">
        <v>0</v>
      </c>
      <c r="W33" t="n">
        <v>1.162480441075811</v>
      </c>
      <c r="X33" t="n">
        <v>0.4597376616520045</v>
      </c>
      <c r="Y33" t="n">
        <v>0</v>
      </c>
      <c r="Z33" t="n">
        <v>1.339321595139787</v>
      </c>
      <c r="AA33" t="n">
        <v>0.5296415709729233</v>
      </c>
      <c r="AB33" t="n">
        <v>0</v>
      </c>
      <c r="AC33" t="n">
        <v>1.074868414538623</v>
      </c>
      <c r="AD33" t="n">
        <v>0.4250757958864925</v>
      </c>
      <c r="AE33" t="n">
        <v>0</v>
      </c>
      <c r="AF33" t="n">
        <v>2.341533000536913</v>
      </c>
      <c r="AG33" t="n">
        <v>0.9259653020249875</v>
      </c>
      <c r="AH33" t="n">
        <v>0</v>
      </c>
      <c r="AI33" t="n">
        <v>1.332172640227368</v>
      </c>
      <c r="AJ33" t="n">
        <v>0.5268400065900807</v>
      </c>
      <c r="AK33" t="n">
        <v>0</v>
      </c>
      <c r="AL33" t="n">
        <v>0.3562208748342813</v>
      </c>
      <c r="AM33" t="n">
        <v>0.1409344002138955</v>
      </c>
      <c r="AN33" t="n">
        <v>0</v>
      </c>
      <c r="AO33" t="n">
        <v>0.2605894003759329</v>
      </c>
      <c r="AP33" t="n">
        <v>0.1031053602568031</v>
      </c>
      <c r="AQ33" t="n">
        <v>0</v>
      </c>
      <c r="AR33">
        <f>Custom1!$AV$33</f>
        <v/>
      </c>
      <c r="AS33">
        <f>Custom1!$AW$33</f>
        <v/>
      </c>
      <c r="AT33">
        <f>Custom1!$AX$33</f>
        <v/>
      </c>
      <c r="AU33">
        <f>Custom2!$AV$33</f>
        <v/>
      </c>
      <c r="AV33">
        <f>Custom2!$AW$33</f>
        <v/>
      </c>
      <c r="AW33">
        <f>Custom2!$AX$33</f>
        <v/>
      </c>
    </row>
    <row r="34">
      <c r="A34" t="n">
        <v>670</v>
      </c>
      <c r="B34" t="n">
        <v>0.7298233245997119</v>
      </c>
      <c r="C34" t="n">
        <v>0.2674591240738932</v>
      </c>
      <c r="D34" t="n">
        <v>0</v>
      </c>
      <c r="E34" t="n">
        <v>0.8720967524527178</v>
      </c>
      <c r="F34" t="n">
        <v>0.3195864425106214</v>
      </c>
      <c r="G34" t="n">
        <v>0</v>
      </c>
      <c r="H34" t="n">
        <v>0.694007470243942</v>
      </c>
      <c r="I34" t="n">
        <v>0.2543289127370724</v>
      </c>
      <c r="J34" t="n">
        <v>0</v>
      </c>
      <c r="K34" t="n">
        <v>1.484958129988565</v>
      </c>
      <c r="L34" t="n">
        <v>0.5441605914062407</v>
      </c>
      <c r="M34" t="n">
        <v>0</v>
      </c>
      <c r="N34" t="n">
        <v>0.8413141589195656</v>
      </c>
      <c r="O34" t="n">
        <v>0.3083102888276428</v>
      </c>
      <c r="P34" t="n">
        <v>0</v>
      </c>
      <c r="Q34" t="n">
        <v>0.161144262514737</v>
      </c>
      <c r="R34" t="n">
        <v>0.05907147729128362</v>
      </c>
      <c r="S34" t="n">
        <v>0</v>
      </c>
      <c r="T34" t="n">
        <v>0.1046924592914314</v>
      </c>
      <c r="U34" t="n">
        <v>0.0383865976224559</v>
      </c>
      <c r="V34" t="n">
        <v>0</v>
      </c>
      <c r="W34" t="n">
        <v>0.6118877398102487</v>
      </c>
      <c r="X34" t="n">
        <v>0.2396706539876323</v>
      </c>
      <c r="Y34" t="n">
        <v>0</v>
      </c>
      <c r="Z34" t="n">
        <v>0.7433431746995142</v>
      </c>
      <c r="AA34" t="n">
        <v>0.2911508368369593</v>
      </c>
      <c r="AB34" t="n">
        <v>0</v>
      </c>
      <c r="AC34" t="n">
        <v>0.5838705622820868</v>
      </c>
      <c r="AD34" t="n">
        <v>0.2286926498442612</v>
      </c>
      <c r="AE34" t="n">
        <v>0</v>
      </c>
      <c r="AF34" t="n">
        <v>1.30246610248083</v>
      </c>
      <c r="AG34" t="n">
        <v>0.5101363389201402</v>
      </c>
      <c r="AH34" t="n">
        <v>0</v>
      </c>
      <c r="AI34" t="n">
        <v>0.7128867793620755</v>
      </c>
      <c r="AJ34" t="n">
        <v>0.2792255249391867</v>
      </c>
      <c r="AK34" t="n">
        <v>0</v>
      </c>
      <c r="AL34" t="n">
        <v>0.1410320234277836</v>
      </c>
      <c r="AM34" t="n">
        <v>0.05525456790514265</v>
      </c>
      <c r="AN34" t="n">
        <v>0</v>
      </c>
      <c r="AO34" t="n">
        <v>0.0917441493734043</v>
      </c>
      <c r="AP34" t="n">
        <v>0.0359516956248434</v>
      </c>
      <c r="AQ34" t="n">
        <v>0</v>
      </c>
      <c r="AR34">
        <f>Custom1!$AV$34</f>
        <v/>
      </c>
      <c r="AS34">
        <f>Custom1!$AW$34</f>
        <v/>
      </c>
      <c r="AT34">
        <f>Custom1!$AX$34</f>
        <v/>
      </c>
      <c r="AU34">
        <f>Custom2!$AV$34</f>
        <v/>
      </c>
      <c r="AV34">
        <f>Custom2!$AW$34</f>
        <v/>
      </c>
      <c r="AW34">
        <f>Custom2!$AX$34</f>
        <v/>
      </c>
    </row>
    <row r="35">
      <c r="A35" t="n">
        <v>680</v>
      </c>
      <c r="B35" t="n">
        <v>0.3753949384638394</v>
      </c>
      <c r="C35" t="n">
        <v>0.1365399940250249</v>
      </c>
      <c r="D35" t="n">
        <v>0</v>
      </c>
      <c r="E35" t="n">
        <v>0.4469271317639127</v>
      </c>
      <c r="F35" t="n">
        <v>0.1625627482852259</v>
      </c>
      <c r="G35" t="n">
        <v>0</v>
      </c>
      <c r="H35" t="n">
        <v>0.3516342870509297</v>
      </c>
      <c r="I35" t="n">
        <v>0.1279018079261276</v>
      </c>
      <c r="J35" t="n">
        <v>0</v>
      </c>
      <c r="K35" t="n">
        <v>0.8141232015093745</v>
      </c>
      <c r="L35" t="n">
        <v>0.2960984074463634</v>
      </c>
      <c r="M35" t="n">
        <v>0</v>
      </c>
      <c r="N35" t="n">
        <v>0.4446144125725091</v>
      </c>
      <c r="O35" t="n">
        <v>0.161711998510902</v>
      </c>
      <c r="P35" t="n">
        <v>0</v>
      </c>
      <c r="Q35" t="n">
        <v>0.06318057266224787</v>
      </c>
      <c r="R35" t="n">
        <v>0.02298503559964848</v>
      </c>
      <c r="S35" t="n">
        <v>0</v>
      </c>
      <c r="T35" t="n">
        <v>0.04865955415458326</v>
      </c>
      <c r="U35" t="n">
        <v>0.01769281867631559</v>
      </c>
      <c r="V35" t="n">
        <v>0</v>
      </c>
      <c r="W35" t="n">
        <v>0.3012724044657776</v>
      </c>
      <c r="X35" t="n">
        <v>0.1173593070344053</v>
      </c>
      <c r="Y35" t="n">
        <v>0</v>
      </c>
      <c r="Z35" t="n">
        <v>0.3647041390031683</v>
      </c>
      <c r="AA35" t="n">
        <v>0.1420708142269493</v>
      </c>
      <c r="AB35" t="n">
        <v>0</v>
      </c>
      <c r="AC35" t="n">
        <v>0.2832264637376394</v>
      </c>
      <c r="AD35" t="n">
        <v>0.1103313163298301</v>
      </c>
      <c r="AE35" t="n">
        <v>0</v>
      </c>
      <c r="AF35" t="n">
        <v>0.6832949486516716</v>
      </c>
      <c r="AG35" t="n">
        <v>0.2661664610708868</v>
      </c>
      <c r="AH35" t="n">
        <v>0</v>
      </c>
      <c r="AI35" t="n">
        <v>0.3605664760674979</v>
      </c>
      <c r="AJ35" t="n">
        <v>0.1404549521524825</v>
      </c>
      <c r="AK35" t="n">
        <v>0</v>
      </c>
      <c r="AL35" t="n">
        <v>0.05299768260509995</v>
      </c>
      <c r="AM35" t="n">
        <v>0.02064724192099508</v>
      </c>
      <c r="AN35" t="n">
        <v>0</v>
      </c>
      <c r="AO35" t="n">
        <v>0.04071954763171458</v>
      </c>
      <c r="AP35" t="n">
        <v>0.01585958777775879</v>
      </c>
      <c r="AQ35" t="n">
        <v>0</v>
      </c>
      <c r="AR35">
        <f>Custom1!$AV$35</f>
        <v/>
      </c>
      <c r="AS35">
        <f>Custom1!$AW$35</f>
        <v/>
      </c>
      <c r="AT35">
        <f>Custom1!$AX$35</f>
        <v/>
      </c>
      <c r="AU35">
        <f>Custom2!$AV$35</f>
        <v/>
      </c>
      <c r="AV35">
        <f>Custom2!$AW$35</f>
        <v/>
      </c>
      <c r="AW35">
        <f>Custom2!$AX$35</f>
        <v/>
      </c>
    </row>
    <row r="36">
      <c r="A36" t="n">
        <v>690</v>
      </c>
      <c r="B36" t="n">
        <v>0.1781063106954477</v>
      </c>
      <c r="C36" t="n">
        <v>0.06444594755591371</v>
      </c>
      <c r="D36" t="n">
        <v>0</v>
      </c>
      <c r="E36" t="n">
        <v>0.2012756748648501</v>
      </c>
      <c r="F36" t="n">
        <v>0.07283003935322108</v>
      </c>
      <c r="G36" t="n">
        <v>0</v>
      </c>
      <c r="H36" t="n">
        <v>0.158966544683229</v>
      </c>
      <c r="I36" t="n">
        <v>0.05752081132553818</v>
      </c>
      <c r="J36" t="n">
        <v>0</v>
      </c>
      <c r="K36" t="n">
        <v>0.4173632919660373</v>
      </c>
      <c r="L36" t="n">
        <v>0.1510141986060422</v>
      </c>
      <c r="M36" t="n">
        <v>0</v>
      </c>
      <c r="N36" t="n">
        <v>0.2202483729718796</v>
      </c>
      <c r="O36" t="n">
        <v>0.07969322634949157</v>
      </c>
      <c r="P36" t="n">
        <v>0</v>
      </c>
      <c r="Q36" t="n">
        <v>0.0245077322279866</v>
      </c>
      <c r="R36" t="n">
        <v>0.00886838630008928</v>
      </c>
      <c r="S36" t="n">
        <v>0</v>
      </c>
      <c r="T36" t="n">
        <v>0.02964728006388082</v>
      </c>
      <c r="U36" t="n">
        <v>0.01072836978866919</v>
      </c>
      <c r="V36" t="n">
        <v>0</v>
      </c>
      <c r="W36" t="n">
        <v>0.1411853928039206</v>
      </c>
      <c r="X36" t="n">
        <v>0.05487015886076952</v>
      </c>
      <c r="Y36" t="n">
        <v>0</v>
      </c>
      <c r="Z36" t="n">
        <v>0.1621925666741646</v>
      </c>
      <c r="AA36" t="n">
        <v>0.06303442798101241</v>
      </c>
      <c r="AB36" t="n">
        <v>0</v>
      </c>
      <c r="AC36" t="n">
        <v>0.1264359566393532</v>
      </c>
      <c r="AD36" t="n">
        <v>0.04913801930308177</v>
      </c>
      <c r="AE36" t="n">
        <v>0</v>
      </c>
      <c r="AF36" t="n">
        <v>0.3461733461231681</v>
      </c>
      <c r="AG36" t="n">
        <v>0.1345346419701097</v>
      </c>
      <c r="AH36" t="n">
        <v>0</v>
      </c>
      <c r="AI36" t="n">
        <v>0.1764676687452394</v>
      </c>
      <c r="AJ36" t="n">
        <v>0.06858167028372492</v>
      </c>
      <c r="AK36" t="n">
        <v>0</v>
      </c>
      <c r="AL36" t="n">
        <v>0.0202707063109085</v>
      </c>
      <c r="AM36" t="n">
        <v>0.007878220810229221</v>
      </c>
      <c r="AN36" t="n">
        <v>0</v>
      </c>
      <c r="AO36" t="n">
        <v>0.02455892738967379</v>
      </c>
      <c r="AP36" t="n">
        <v>0.009545003562253331</v>
      </c>
      <c r="AQ36" t="n">
        <v>0</v>
      </c>
      <c r="AR36">
        <f>Custom1!$AV$36</f>
        <v/>
      </c>
      <c r="AS36">
        <f>Custom1!$AW$36</f>
        <v/>
      </c>
      <c r="AT36">
        <f>Custom1!$AX$36</f>
        <v/>
      </c>
      <c r="AU36">
        <f>Custom2!$AV$36</f>
        <v/>
      </c>
      <c r="AV36">
        <f>Custom2!$AW$36</f>
        <v/>
      </c>
      <c r="AW36">
        <f>Custom2!$AX$36</f>
        <v/>
      </c>
    </row>
    <row r="37">
      <c r="A37" t="n">
        <v>700</v>
      </c>
      <c r="B37" t="n">
        <v>0.08396442957689323</v>
      </c>
      <c r="C37" t="n">
        <v>0.03032654609788199</v>
      </c>
      <c r="D37" t="n">
        <v>0</v>
      </c>
      <c r="E37" t="n">
        <v>0.1011261685242952</v>
      </c>
      <c r="F37" t="n">
        <v>0.03652484298521785</v>
      </c>
      <c r="G37" t="n">
        <v>0</v>
      </c>
      <c r="H37" t="n">
        <v>0.0789722290806724</v>
      </c>
      <c r="I37" t="n">
        <v>0.02852328331967441</v>
      </c>
      <c r="J37" t="n">
        <v>0</v>
      </c>
      <c r="K37" t="n">
        <v>0.2138182425080289</v>
      </c>
      <c r="L37" t="n">
        <v>0.07722711181434125</v>
      </c>
      <c r="M37" t="n">
        <v>0</v>
      </c>
      <c r="N37" t="n">
        <v>0.1091860135779121</v>
      </c>
      <c r="O37" t="n">
        <v>0.03943601630352669</v>
      </c>
      <c r="P37" t="n">
        <v>0</v>
      </c>
      <c r="Q37" t="n">
        <v>0.00907274659842134</v>
      </c>
      <c r="R37" t="n">
        <v>0.003276977007623459</v>
      </c>
      <c r="S37" t="n">
        <v>0</v>
      </c>
      <c r="T37" t="n">
        <v>0.01416036081164858</v>
      </c>
      <c r="U37" t="n">
        <v>0.005114161787123213</v>
      </c>
      <c r="V37" t="n">
        <v>0</v>
      </c>
      <c r="W37" t="n">
        <v>0.06459768522523093</v>
      </c>
      <c r="X37" t="n">
        <v>0.02508154136020732</v>
      </c>
      <c r="Y37" t="n">
        <v>0</v>
      </c>
      <c r="Z37" t="n">
        <v>0.07903858382775705</v>
      </c>
      <c r="AA37" t="n">
        <v>0.03068853198887974</v>
      </c>
      <c r="AB37" t="n">
        <v>0</v>
      </c>
      <c r="AC37" t="n">
        <v>0.06092242213663483</v>
      </c>
      <c r="AD37" t="n">
        <v>0.02365453583828997</v>
      </c>
      <c r="AE37" t="n">
        <v>0</v>
      </c>
      <c r="AF37" t="n">
        <v>0.1719879209766488</v>
      </c>
      <c r="AG37" t="n">
        <v>0.06677826491137243</v>
      </c>
      <c r="AH37" t="n">
        <v>0</v>
      </c>
      <c r="AI37" t="n">
        <v>0.08486400415291662</v>
      </c>
      <c r="AJ37" t="n">
        <v>0.03295040347100441</v>
      </c>
      <c r="AK37" t="n">
        <v>0</v>
      </c>
      <c r="AL37" t="n">
        <v>0.007296340598703724</v>
      </c>
      <c r="AM37" t="n">
        <v>0.002832978518538491</v>
      </c>
      <c r="AN37" t="n">
        <v>0</v>
      </c>
      <c r="AO37" t="n">
        <v>0.01124430527608302</v>
      </c>
      <c r="AP37" t="n">
        <v>0.004366050721380521</v>
      </c>
      <c r="AQ37" t="n">
        <v>0</v>
      </c>
      <c r="AR37">
        <f>Custom1!$AV$37</f>
        <v/>
      </c>
      <c r="AS37">
        <f>Custom1!$AW$37</f>
        <v/>
      </c>
      <c r="AT37">
        <f>Custom1!$AX$37</f>
        <v/>
      </c>
      <c r="AU37">
        <f>Custom2!$AV$37</f>
        <v/>
      </c>
      <c r="AV37">
        <f>Custom2!$AW$37</f>
        <v/>
      </c>
      <c r="AW37">
        <f>Custom2!$AX$37</f>
        <v/>
      </c>
    </row>
    <row r="38">
      <c r="A38" t="n">
        <v>710</v>
      </c>
      <c r="B38" t="n">
        <v>0.04064097947166441</v>
      </c>
      <c r="C38" t="n">
        <v>0.01467684586029511</v>
      </c>
      <c r="D38" t="n">
        <v>0</v>
      </c>
      <c r="E38" t="n">
        <v>0.05173261365259863</v>
      </c>
      <c r="F38" t="n">
        <v>0.01868241282692876</v>
      </c>
      <c r="G38" t="n">
        <v>0</v>
      </c>
      <c r="H38" t="n">
        <v>0.04098051691855792</v>
      </c>
      <c r="I38" t="n">
        <v>0.01479946697495744</v>
      </c>
      <c r="J38" t="n">
        <v>0</v>
      </c>
      <c r="K38" t="n">
        <v>0.1124362014727629</v>
      </c>
      <c r="L38" t="n">
        <v>0.04060460447479985</v>
      </c>
      <c r="M38" t="n">
        <v>0</v>
      </c>
      <c r="N38" t="n">
        <v>0.05568208282059416</v>
      </c>
      <c r="O38" t="n">
        <v>0.02010871856483222</v>
      </c>
      <c r="P38" t="n">
        <v>0</v>
      </c>
      <c r="Q38" t="n">
        <v>0.003644215304909385</v>
      </c>
      <c r="R38" t="n">
        <v>0.001316046650505484</v>
      </c>
      <c r="S38" t="n">
        <v>0</v>
      </c>
      <c r="T38" t="n">
        <v>0.01847215212438896</v>
      </c>
      <c r="U38" t="n">
        <v>0.006670919744979549</v>
      </c>
      <c r="V38" t="n">
        <v>0</v>
      </c>
      <c r="W38" t="n">
        <v>0.02919263732942546</v>
      </c>
      <c r="X38" t="n">
        <v>0.01133735102223711</v>
      </c>
      <c r="Y38" t="n">
        <v>0</v>
      </c>
      <c r="Z38" t="n">
        <v>0.03777921828684688</v>
      </c>
      <c r="AA38" t="n">
        <v>0.01467200281644208</v>
      </c>
      <c r="AB38" t="n">
        <v>0</v>
      </c>
      <c r="AC38" t="n">
        <v>0.02953497531671953</v>
      </c>
      <c r="AD38" t="n">
        <v>0.01147025726338062</v>
      </c>
      <c r="AE38" t="n">
        <v>0</v>
      </c>
      <c r="AF38" t="n">
        <v>0.08444478149560337</v>
      </c>
      <c r="AG38" t="n">
        <v>0.03279539983714275</v>
      </c>
      <c r="AH38" t="n">
        <v>0</v>
      </c>
      <c r="AI38" t="n">
        <v>0.04040796096834413</v>
      </c>
      <c r="AJ38" t="n">
        <v>0.01569301538879847</v>
      </c>
      <c r="AK38" t="n">
        <v>0</v>
      </c>
      <c r="AL38" t="n">
        <v>0.002735650790064638</v>
      </c>
      <c r="AM38" t="n">
        <v>0.001062415384683767</v>
      </c>
      <c r="AN38" t="n">
        <v>0</v>
      </c>
      <c r="AO38" t="n">
        <v>0.01386944397764862</v>
      </c>
      <c r="AP38" t="n">
        <v>0.005386139409315408</v>
      </c>
      <c r="AQ38" t="n">
        <v>0</v>
      </c>
      <c r="AR38">
        <f>Custom1!$AV$38</f>
        <v/>
      </c>
      <c r="AS38">
        <f>Custom1!$AW$38</f>
        <v/>
      </c>
      <c r="AT38">
        <f>Custom1!$AX$38</f>
        <v/>
      </c>
      <c r="AU38">
        <f>Custom2!$AV$38</f>
        <v/>
      </c>
      <c r="AV38">
        <f>Custom2!$AW$38</f>
        <v/>
      </c>
      <c r="AW38">
        <f>Custom2!$AX$38</f>
        <v/>
      </c>
    </row>
    <row r="39">
      <c r="A39" t="n">
        <v>720</v>
      </c>
      <c r="B39" t="n">
        <v>0.01928088814475783</v>
      </c>
      <c r="C39" t="n">
        <v>0.006963439590892326</v>
      </c>
      <c r="D39" t="n">
        <v>0</v>
      </c>
      <c r="E39" t="n">
        <v>0.02289933387623457</v>
      </c>
      <c r="F39" t="n">
        <v>0.008270267260954462</v>
      </c>
      <c r="G39" t="n">
        <v>0</v>
      </c>
      <c r="H39" t="n">
        <v>0.01824516120735349</v>
      </c>
      <c r="I39" t="n">
        <v>0.006589377594058463</v>
      </c>
      <c r="J39" t="n">
        <v>0</v>
      </c>
      <c r="K39" t="n">
        <v>0.05813358822008043</v>
      </c>
      <c r="L39" t="n">
        <v>0.02099538487019379</v>
      </c>
      <c r="M39" t="n">
        <v>0</v>
      </c>
      <c r="N39" t="n">
        <v>0.0279720580757573</v>
      </c>
      <c r="O39" t="n">
        <v>0.0101023207403078</v>
      </c>
      <c r="P39" t="n">
        <v>0</v>
      </c>
      <c r="Q39" t="n">
        <v>0.001419801061043266</v>
      </c>
      <c r="R39" t="n">
        <v>0.0005127721020811694</v>
      </c>
      <c r="S39" t="n">
        <v>0</v>
      </c>
      <c r="T39" t="n">
        <v>0.00241975515127048</v>
      </c>
      <c r="U39" t="n">
        <v>0.0008739146812753038</v>
      </c>
      <c r="V39" t="n">
        <v>0</v>
      </c>
      <c r="W39" t="n">
        <v>0.01315875869559759</v>
      </c>
      <c r="X39" t="n">
        <v>0.005116668468563996</v>
      </c>
      <c r="Y39" t="n">
        <v>0</v>
      </c>
      <c r="Z39" t="n">
        <v>0.01588880458984005</v>
      </c>
      <c r="AA39" t="n">
        <v>0.006178173524842791</v>
      </c>
      <c r="AB39" t="n">
        <v>0</v>
      </c>
      <c r="AC39" t="n">
        <v>0.01249471916256732</v>
      </c>
      <c r="AD39" t="n">
        <v>0.004858427023277789</v>
      </c>
      <c r="AE39" t="n">
        <v>0</v>
      </c>
      <c r="AF39" t="n">
        <v>0.0414921257182923</v>
      </c>
      <c r="AG39" t="n">
        <v>0.01613411909387007</v>
      </c>
      <c r="AH39" t="n">
        <v>0</v>
      </c>
      <c r="AI39" t="n">
        <v>0.01928892960734331</v>
      </c>
      <c r="AJ39" t="n">
        <v>0.007500417023186489</v>
      </c>
      <c r="AK39" t="n">
        <v>0</v>
      </c>
      <c r="AL39" t="n">
        <v>0.001011893837556034</v>
      </c>
      <c r="AM39" t="n">
        <v>0.0003934541683915534</v>
      </c>
      <c r="AN39" t="n">
        <v>0</v>
      </c>
      <c r="AO39" t="n">
        <v>0.00174286828784313</v>
      </c>
      <c r="AP39" t="n">
        <v>0.0006773990319050037</v>
      </c>
      <c r="AQ39" t="n">
        <v>0</v>
      </c>
      <c r="AR39">
        <f>Custom1!$AV$39</f>
        <v/>
      </c>
      <c r="AS39">
        <f>Custom1!$AW$39</f>
        <v/>
      </c>
      <c r="AT39">
        <f>Custom1!$AX$39</f>
        <v/>
      </c>
      <c r="AU39">
        <f>Custom2!$AV$39</f>
        <v/>
      </c>
      <c r="AV39">
        <f>Custom2!$AW$39</f>
        <v/>
      </c>
      <c r="AW39">
        <f>Custom2!$AX$39</f>
        <v/>
      </c>
    </row>
    <row r="40">
      <c r="A40" t="n">
        <v>730</v>
      </c>
      <c r="B40" t="n">
        <v>0.01639980169728608</v>
      </c>
      <c r="C40" t="n">
        <v>0.005922022445547327</v>
      </c>
      <c r="D40" t="n">
        <v>0</v>
      </c>
      <c r="E40" t="n">
        <v>0.02271591247351936</v>
      </c>
      <c r="F40" t="n">
        <v>0.008200868436083345</v>
      </c>
      <c r="G40" t="n">
        <v>0</v>
      </c>
      <c r="H40" t="n">
        <v>0.01825013639974884</v>
      </c>
      <c r="I40" t="n">
        <v>0.006588642995954402</v>
      </c>
      <c r="J40" t="n">
        <v>0</v>
      </c>
      <c r="K40" t="n">
        <v>0.05781587964312992</v>
      </c>
      <c r="L40" t="n">
        <v>0.02087225965974667</v>
      </c>
      <c r="M40" t="n">
        <v>0</v>
      </c>
      <c r="N40" t="n">
        <v>0.02650513933926518</v>
      </c>
      <c r="O40" t="n">
        <v>0.009568895745219755</v>
      </c>
      <c r="P40" t="n">
        <v>0</v>
      </c>
      <c r="Q40" t="n">
        <v>0.00102426533022802</v>
      </c>
      <c r="R40" t="n">
        <v>0.0003698114121310762</v>
      </c>
      <c r="S40" t="n">
        <v>0</v>
      </c>
      <c r="T40" t="n">
        <v>0.0004535470047069394</v>
      </c>
      <c r="U40" t="n">
        <v>0.0001637589030009493</v>
      </c>
      <c r="V40" t="n">
        <v>0</v>
      </c>
      <c r="W40" t="n">
        <v>0.01094418903306124</v>
      </c>
      <c r="X40" t="n">
        <v>0.004276569763185938</v>
      </c>
      <c r="Y40" t="n">
        <v>0</v>
      </c>
      <c r="Z40" t="n">
        <v>0.01542037763565833</v>
      </c>
      <c r="AA40" t="n">
        <v>0.006025671709643598</v>
      </c>
      <c r="AB40" t="n">
        <v>0</v>
      </c>
      <c r="AC40" t="n">
        <v>0.01222795611660187</v>
      </c>
      <c r="AD40" t="n">
        <v>0.004778223781553945</v>
      </c>
      <c r="AE40" t="n">
        <v>0</v>
      </c>
      <c r="AF40" t="n">
        <v>0.04045410092133385</v>
      </c>
      <c r="AG40" t="n">
        <v>0.01581348914066557</v>
      </c>
      <c r="AH40" t="n">
        <v>0</v>
      </c>
      <c r="AI40" t="n">
        <v>0.01790670989878466</v>
      </c>
      <c r="AJ40" t="n">
        <v>0.006998960570779165</v>
      </c>
      <c r="AK40" t="n">
        <v>0</v>
      </c>
      <c r="AL40" t="n">
        <v>0.000713159698491308</v>
      </c>
      <c r="AM40" t="n">
        <v>0.000278637901551486</v>
      </c>
      <c r="AN40" t="n">
        <v>0</v>
      </c>
      <c r="AO40" t="n">
        <v>0.0003166308724937315</v>
      </c>
      <c r="AP40" t="n">
        <v>0.0001237816469223722</v>
      </c>
      <c r="AQ40" t="n">
        <v>0</v>
      </c>
      <c r="AR40">
        <f>Custom1!$AV$40</f>
        <v/>
      </c>
      <c r="AS40">
        <f>Custom1!$AW$40</f>
        <v/>
      </c>
      <c r="AT40">
        <f>Custom1!$AX$40</f>
        <v/>
      </c>
      <c r="AU40">
        <f>Custom2!$AV$40</f>
        <v/>
      </c>
      <c r="AV40">
        <f>Custom2!$AW$40</f>
        <v/>
      </c>
      <c r="AW40">
        <f>Custom2!$AX$40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</cols>
  <sheetData>
    <row r="1">
      <c r="A1" t="inlineStr">
        <is>
          <t>Your own lights: paste a measured spectrum (380-780 nm every 5 nm, any scale) and give it a name.</t>
        </is>
      </c>
    </row>
    <row r="2">
      <c r="A2" t="inlineStr">
        <is>
          <t>The workbook builds its Wpt normalization (Technical annex A.3) and adds it to the list of conditions on the Report sheet.</t>
        </is>
      </c>
    </row>
    <row r="4">
      <c r="A4" s="2" t="inlineStr">
        <is>
          <t>Name</t>
        </is>
      </c>
      <c r="B4" s="3" t="inlineStr">
        <is>
          <t>Made-up white LED (example)</t>
        </is>
      </c>
      <c r="C4" s="3" t="inlineStr">
        <is>
          <t>Custom light 2</t>
        </is>
      </c>
      <c r="D4" t="inlineStr">
        <is>
          <t>Example in column B: a made-up white LED (blue LED plus phosphor), not a measured light. Replace it with yours.</t>
        </is>
      </c>
    </row>
    <row r="5">
      <c r="A5" s="2" t="inlineStr">
        <is>
          <t>Observer</t>
        </is>
      </c>
      <c r="B5" s="3" t="inlineStr">
        <is>
          <t>CIE 1931 2deg</t>
        </is>
      </c>
      <c r="C5" s="3" t="inlineStr">
        <is>
          <t>CIE 1931 2deg</t>
        </is>
      </c>
    </row>
    <row r="7">
      <c r="A7" s="2" t="inlineStr">
        <is>
          <t>nm</t>
        </is>
      </c>
    </row>
    <row r="8">
      <c r="A8" t="n">
        <v>380</v>
      </c>
      <c r="B8" s="3" t="n">
        <v>0.0764</v>
      </c>
      <c r="C8" s="3" t="n"/>
    </row>
    <row r="9">
      <c r="A9" t="n">
        <v>385</v>
      </c>
      <c r="B9" s="3" t="n">
        <v>0.112</v>
      </c>
      <c r="C9" s="3" t="n"/>
    </row>
    <row r="10">
      <c r="A10" t="n">
        <v>390</v>
      </c>
      <c r="B10" s="3" t="n">
        <v>0.1624</v>
      </c>
      <c r="C10" s="3" t="n"/>
    </row>
    <row r="11">
      <c r="A11" t="n">
        <v>395</v>
      </c>
      <c r="B11" s="3" t="n">
        <v>0.2332</v>
      </c>
      <c r="C11" s="3" t="n"/>
    </row>
    <row r="12">
      <c r="A12" t="n">
        <v>400</v>
      </c>
      <c r="B12" s="3" t="n">
        <v>0.3314</v>
      </c>
      <c r="C12" s="3" t="n"/>
    </row>
    <row r="13">
      <c r="A13" t="n">
        <v>405</v>
      </c>
      <c r="B13" s="3" t="n">
        <v>0.4665</v>
      </c>
      <c r="C13" s="3" t="n"/>
    </row>
    <row r="14">
      <c r="A14" t="n">
        <v>410</v>
      </c>
      <c r="B14" s="3" t="n">
        <v>0.6564</v>
      </c>
      <c r="C14" s="3" t="n"/>
    </row>
    <row r="15">
      <c r="A15" t="n">
        <v>415</v>
      </c>
      <c r="B15" s="3" t="n">
        <v>0.9637</v>
      </c>
      <c r="C15" s="3" t="n"/>
    </row>
    <row r="16">
      <c r="A16" t="n">
        <v>420</v>
      </c>
      <c r="B16" s="3" t="n">
        <v>1.6758</v>
      </c>
      <c r="C16" s="3" t="n"/>
    </row>
    <row r="17">
      <c r="A17" t="n">
        <v>425</v>
      </c>
      <c r="B17" s="3" t="n">
        <v>3.8631</v>
      </c>
      <c r="C17" s="3" t="n"/>
    </row>
    <row r="18">
      <c r="A18" t="n">
        <v>430</v>
      </c>
      <c r="B18" s="3" t="n">
        <v>10.2581</v>
      </c>
      <c r="C18" s="3" t="n"/>
    </row>
    <row r="19">
      <c r="A19" t="n">
        <v>435</v>
      </c>
      <c r="B19" s="3" t="n">
        <v>24.8823</v>
      </c>
      <c r="C19" s="3" t="n"/>
    </row>
    <row r="20">
      <c r="A20" t="n">
        <v>440</v>
      </c>
      <c r="B20" s="3" t="n">
        <v>48.782</v>
      </c>
      <c r="C20" s="3" t="n"/>
    </row>
    <row r="21">
      <c r="A21" t="n">
        <v>445</v>
      </c>
      <c r="B21" s="3" t="n">
        <v>74.0431</v>
      </c>
      <c r="C21" s="3" t="n"/>
    </row>
    <row r="22">
      <c r="A22" t="n">
        <v>450</v>
      </c>
      <c r="B22" s="3" t="n">
        <v>86.0547</v>
      </c>
      <c r="C22" s="3" t="n"/>
    </row>
    <row r="23">
      <c r="A23" t="n">
        <v>455</v>
      </c>
      <c r="B23" s="3" t="n">
        <v>77.0634</v>
      </c>
      <c r="C23" s="3" t="n"/>
    </row>
    <row r="24">
      <c r="A24" t="n">
        <v>460</v>
      </c>
      <c r="B24" s="3" t="n">
        <v>54.902</v>
      </c>
      <c r="C24" s="3" t="n"/>
    </row>
    <row r="25">
      <c r="A25" t="n">
        <v>465</v>
      </c>
      <c r="B25" s="3" t="n">
        <v>34.2576</v>
      </c>
      <c r="C25" s="3" t="n"/>
    </row>
    <row r="26">
      <c r="A26" t="n">
        <v>470</v>
      </c>
      <c r="B26" s="3" t="n">
        <v>23.1142</v>
      </c>
      <c r="C26" s="3" t="n"/>
    </row>
    <row r="27">
      <c r="A27" t="n">
        <v>475</v>
      </c>
      <c r="B27" s="3" t="n">
        <v>20.4857</v>
      </c>
      <c r="C27" s="3" t="n"/>
    </row>
    <row r="28">
      <c r="A28" t="n">
        <v>480</v>
      </c>
      <c r="B28" s="3" t="n">
        <v>22.3984</v>
      </c>
      <c r="C28" s="3" t="n"/>
    </row>
    <row r="29">
      <c r="A29" t="n">
        <v>485</v>
      </c>
      <c r="B29" s="3" t="n">
        <v>26.1518</v>
      </c>
      <c r="C29" s="3" t="n"/>
    </row>
    <row r="30">
      <c r="A30" t="n">
        <v>490</v>
      </c>
      <c r="B30" s="3" t="n">
        <v>30.6896</v>
      </c>
      <c r="C30" s="3" t="n"/>
    </row>
    <row r="31">
      <c r="A31" t="n">
        <v>495</v>
      </c>
      <c r="B31" s="3" t="n">
        <v>35.7184</v>
      </c>
      <c r="C31" s="3" t="n"/>
    </row>
    <row r="32">
      <c r="A32" t="n">
        <v>500</v>
      </c>
      <c r="B32" s="3" t="n">
        <v>41.1474</v>
      </c>
      <c r="C32" s="3" t="n"/>
    </row>
    <row r="33">
      <c r="A33" t="n">
        <v>505</v>
      </c>
      <c r="B33" s="3" t="n">
        <v>46.9081</v>
      </c>
      <c r="C33" s="3" t="n"/>
    </row>
    <row r="34">
      <c r="A34" t="n">
        <v>510</v>
      </c>
      <c r="B34" s="3" t="n">
        <v>52.9182</v>
      </c>
      <c r="C34" s="3" t="n"/>
    </row>
    <row r="35">
      <c r="A35" t="n">
        <v>515</v>
      </c>
      <c r="B35" s="3" t="n">
        <v>59.0764</v>
      </c>
      <c r="C35" s="3" t="n"/>
    </row>
    <row r="36">
      <c r="A36" t="n">
        <v>520</v>
      </c>
      <c r="B36" s="3" t="n">
        <v>65.2649</v>
      </c>
      <c r="C36" s="3" t="n"/>
    </row>
    <row r="37">
      <c r="A37" t="n">
        <v>525</v>
      </c>
      <c r="B37" s="3" t="n">
        <v>71.3523</v>
      </c>
      <c r="C37" s="3" t="n"/>
    </row>
    <row r="38">
      <c r="A38" t="n">
        <v>530</v>
      </c>
      <c r="B38" s="3" t="n">
        <v>77.1992</v>
      </c>
      <c r="C38" s="3" t="n"/>
    </row>
    <row r="39">
      <c r="A39" t="n">
        <v>535</v>
      </c>
      <c r="B39" s="3" t="n">
        <v>82.66330000000001</v>
      </c>
      <c r="C39" s="3" t="n"/>
    </row>
    <row r="40">
      <c r="A40" t="n">
        <v>540</v>
      </c>
      <c r="B40" s="3" t="n">
        <v>87.607</v>
      </c>
      <c r="C40" s="3" t="n"/>
    </row>
    <row r="41">
      <c r="A41" t="n">
        <v>545</v>
      </c>
      <c r="B41" s="3" t="n">
        <v>91.905</v>
      </c>
      <c r="C41" s="3" t="n"/>
    </row>
    <row r="42">
      <c r="A42" t="n">
        <v>550</v>
      </c>
      <c r="B42" s="3" t="n">
        <v>95.4512</v>
      </c>
      <c r="C42" s="3" t="n"/>
    </row>
    <row r="43">
      <c r="A43" t="n">
        <v>555</v>
      </c>
      <c r="B43" s="3" t="n">
        <v>98.1657</v>
      </c>
      <c r="C43" s="3" t="n"/>
    </row>
    <row r="44">
      <c r="A44" t="n">
        <v>560</v>
      </c>
      <c r="B44" s="3" t="n">
        <v>100</v>
      </c>
      <c r="C44" s="3" t="n"/>
    </row>
    <row r="45">
      <c r="A45" t="n">
        <v>565</v>
      </c>
      <c r="B45" s="3" t="n">
        <v>100.9385</v>
      </c>
      <c r="C45" s="3" t="n"/>
    </row>
    <row r="46">
      <c r="A46" t="n">
        <v>570</v>
      </c>
      <c r="B46" s="3" t="n">
        <v>100.9975</v>
      </c>
      <c r="C46" s="3" t="n"/>
    </row>
    <row r="47">
      <c r="A47" t="n">
        <v>575</v>
      </c>
      <c r="B47" s="3" t="n">
        <v>100.2203</v>
      </c>
      <c r="C47" s="3" t="n"/>
    </row>
    <row r="48">
      <c r="A48" t="n">
        <v>580</v>
      </c>
      <c r="B48" s="3" t="n">
        <v>98.6679</v>
      </c>
      <c r="C48" s="3" t="n"/>
    </row>
    <row r="49">
      <c r="A49" t="n">
        <v>585</v>
      </c>
      <c r="B49" s="3" t="n">
        <v>96.40860000000001</v>
      </c>
      <c r="C49" s="3" t="n"/>
    </row>
    <row r="50">
      <c r="A50" t="n">
        <v>590</v>
      </c>
      <c r="B50" s="3" t="n">
        <v>93.5069</v>
      </c>
      <c r="C50" s="3" t="n"/>
    </row>
    <row r="51">
      <c r="A51" t="n">
        <v>595</v>
      </c>
      <c r="B51" s="3" t="n">
        <v>90.01600000000001</v>
      </c>
      <c r="C51" s="3" t="n"/>
    </row>
    <row r="52">
      <c r="A52" t="n">
        <v>600</v>
      </c>
      <c r="B52" s="3" t="n">
        <v>85.9743</v>
      </c>
      <c r="C52" s="3" t="n"/>
    </row>
    <row r="53">
      <c r="A53" t="n">
        <v>605</v>
      </c>
      <c r="B53" s="3" t="n">
        <v>81.4088</v>
      </c>
      <c r="C53" s="3" t="n"/>
    </row>
    <row r="54">
      <c r="A54" t="n">
        <v>610</v>
      </c>
      <c r="B54" s="3" t="n">
        <v>76.34480000000001</v>
      </c>
      <c r="C54" s="3" t="n"/>
    </row>
    <row r="55">
      <c r="A55" t="n">
        <v>615</v>
      </c>
      <c r="B55" s="3" t="n">
        <v>70.8184</v>
      </c>
      <c r="C55" s="3" t="n"/>
    </row>
    <row r="56">
      <c r="A56" t="n">
        <v>620</v>
      </c>
      <c r="B56" s="3" t="n">
        <v>64.8899</v>
      </c>
      <c r="C56" s="3" t="n"/>
    </row>
    <row r="57">
      <c r="A57" t="n">
        <v>625</v>
      </c>
      <c r="B57" s="3" t="n">
        <v>58.6522</v>
      </c>
      <c r="C57" s="3" t="n"/>
    </row>
    <row r="58">
      <c r="A58" t="n">
        <v>630</v>
      </c>
      <c r="B58" s="3" t="n">
        <v>52.2324</v>
      </c>
      <c r="C58" s="3" t="n"/>
    </row>
    <row r="59">
      <c r="A59" t="n">
        <v>635</v>
      </c>
      <c r="B59" s="3" t="n">
        <v>45.7855</v>
      </c>
      <c r="C59" s="3" t="n"/>
    </row>
    <row r="60">
      <c r="A60" t="n">
        <v>640</v>
      </c>
      <c r="B60" s="3" t="n">
        <v>39.4797</v>
      </c>
      <c r="C60" s="3" t="n"/>
    </row>
    <row r="61">
      <c r="A61" t="n">
        <v>645</v>
      </c>
      <c r="B61" s="3" t="n">
        <v>33.4789</v>
      </c>
      <c r="C61" s="3" t="n"/>
    </row>
    <row r="62">
      <c r="A62" t="n">
        <v>650</v>
      </c>
      <c r="B62" s="3" t="n">
        <v>27.9245</v>
      </c>
      <c r="C62" s="3" t="n"/>
    </row>
    <row r="63">
      <c r="A63" t="n">
        <v>655</v>
      </c>
      <c r="B63" s="3" t="n">
        <v>22.9222</v>
      </c>
      <c r="C63" s="3" t="n"/>
    </row>
    <row r="64">
      <c r="A64" t="n">
        <v>660</v>
      </c>
      <c r="B64" s="3" t="n">
        <v>18.534</v>
      </c>
      <c r="C64" s="3" t="n"/>
    </row>
    <row r="65">
      <c r="A65" t="n">
        <v>665</v>
      </c>
      <c r="B65" s="3" t="n">
        <v>14.7785</v>
      </c>
      <c r="C65" s="3" t="n"/>
    </row>
    <row r="66">
      <c r="A66" t="n">
        <v>670</v>
      </c>
      <c r="B66" s="3" t="n">
        <v>11.6364</v>
      </c>
      <c r="C66" s="3" t="n"/>
    </row>
    <row r="67">
      <c r="A67" t="n">
        <v>675</v>
      </c>
      <c r="B67" s="3" t="n">
        <v>9.0601</v>
      </c>
      <c r="C67" s="3" t="n"/>
    </row>
    <row r="68">
      <c r="A68" t="n">
        <v>680</v>
      </c>
      <c r="B68" s="3" t="n">
        <v>6.9845</v>
      </c>
      <c r="C68" s="3" t="n"/>
    </row>
    <row r="69">
      <c r="A69" t="n">
        <v>685</v>
      </c>
      <c r="B69" s="3" t="n">
        <v>5.337</v>
      </c>
      <c r="C69" s="3" t="n"/>
    </row>
    <row r="70">
      <c r="A70" t="n">
        <v>690</v>
      </c>
      <c r="B70" s="3" t="n">
        <v>4.0455</v>
      </c>
      <c r="C70" s="3" t="n"/>
    </row>
    <row r="71">
      <c r="A71" t="n">
        <v>695</v>
      </c>
      <c r="B71" s="3" t="n">
        <v>3.0435</v>
      </c>
      <c r="C71" s="3" t="n"/>
    </row>
    <row r="72">
      <c r="A72" t="n">
        <v>700</v>
      </c>
      <c r="B72" s="3" t="n">
        <v>2.2728</v>
      </c>
      <c r="C72" s="3" t="n"/>
    </row>
    <row r="73">
      <c r="A73" t="n">
        <v>705</v>
      </c>
      <c r="B73" s="3" t="n">
        <v>1.6845</v>
      </c>
      <c r="C73" s="3" t="n"/>
    </row>
    <row r="74">
      <c r="A74" t="n">
        <v>710</v>
      </c>
      <c r="B74" s="3" t="n">
        <v>1.2389</v>
      </c>
      <c r="C74" s="3" t="n"/>
    </row>
    <row r="75">
      <c r="A75" t="n">
        <v>715</v>
      </c>
      <c r="B75" s="3" t="n">
        <v>0.9036</v>
      </c>
      <c r="C75" s="3" t="n"/>
    </row>
    <row r="76">
      <c r="A76" t="n">
        <v>720</v>
      </c>
      <c r="B76" s="3" t="n">
        <v>0.6535</v>
      </c>
      <c r="C76" s="3" t="n"/>
    </row>
    <row r="77">
      <c r="A77" t="n">
        <v>725</v>
      </c>
      <c r="B77" s="3" t="n">
        <v>0.4683</v>
      </c>
      <c r="C77" s="3" t="n"/>
    </row>
    <row r="78">
      <c r="A78" t="n">
        <v>730</v>
      </c>
      <c r="B78" s="3" t="n">
        <v>0.3324</v>
      </c>
      <c r="C78" s="3" t="n"/>
    </row>
    <row r="79">
      <c r="A79" t="n">
        <v>735</v>
      </c>
      <c r="B79" s="3" t="n">
        <v>0.2337</v>
      </c>
      <c r="C79" s="3" t="n"/>
    </row>
    <row r="80">
      <c r="A80" t="n">
        <v>740</v>
      </c>
      <c r="B80" s="3" t="n">
        <v>0.1626</v>
      </c>
      <c r="C80" s="3" t="n"/>
    </row>
    <row r="81">
      <c r="A81" t="n">
        <v>745</v>
      </c>
      <c r="B81" s="3" t="n">
        <v>0.112</v>
      </c>
      <c r="C81" s="3" t="n"/>
    </row>
    <row r="82">
      <c r="A82" t="n">
        <v>750</v>
      </c>
      <c r="B82" s="3" t="n">
        <v>0.0764</v>
      </c>
      <c r="C82" s="3" t="n"/>
    </row>
    <row r="83">
      <c r="A83" t="n">
        <v>755</v>
      </c>
      <c r="B83" s="3" t="n">
        <v>0.0516</v>
      </c>
      <c r="C83" s="3" t="n"/>
    </row>
    <row r="84">
      <c r="A84" t="n">
        <v>760</v>
      </c>
      <c r="B84" s="3" t="n">
        <v>0.0344</v>
      </c>
      <c r="C84" s="3" t="n"/>
    </row>
    <row r="85">
      <c r="A85" t="n">
        <v>765</v>
      </c>
      <c r="B85" s="3" t="n">
        <v>0.0228</v>
      </c>
      <c r="C85" s="3" t="n"/>
    </row>
    <row r="86">
      <c r="A86" t="n">
        <v>770</v>
      </c>
      <c r="B86" s="3" t="n">
        <v>0.0149</v>
      </c>
      <c r="C86" s="3" t="n"/>
    </row>
    <row r="87">
      <c r="A87" t="n">
        <v>775</v>
      </c>
      <c r="B87" s="3" t="n">
        <v>0.009599999999999999</v>
      </c>
      <c r="C87" s="3" t="n"/>
    </row>
    <row r="88">
      <c r="A88" t="n">
        <v>780</v>
      </c>
      <c r="B88" s="3" t="n">
        <v>0.0062</v>
      </c>
      <c r="C88" s="3" t="n"/>
    </row>
  </sheetData>
  <dataValidations count="1">
    <dataValidation sqref="B5 C5" showDropDown="0" showInputMessage="0" showErrorMessage="0" allowBlank="0" type="list">
      <formula1>"CIE 1931 2deg,CIE 1964 10deg"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40 base reflectances (Munsell Value 5 / Chroma 6) and their reference p, t (Technical annex A.4).</t>
        </is>
      </c>
    </row>
    <row r="4">
      <c r="B4" t="inlineStr">
        <is>
          <t>nm</t>
        </is>
      </c>
      <c r="C4" t="inlineStr">
        <is>
          <t>2.5B 5/6</t>
        </is>
      </c>
      <c r="D4" t="inlineStr">
        <is>
          <t>2.5BG 5/6</t>
        </is>
      </c>
      <c r="E4" t="inlineStr">
        <is>
          <t>2.5G 5/6</t>
        </is>
      </c>
      <c r="F4" t="inlineStr">
        <is>
          <t>2.5GY 5/6</t>
        </is>
      </c>
      <c r="G4" t="inlineStr">
        <is>
          <t>2.5PB 5/6</t>
        </is>
      </c>
      <c r="H4" t="inlineStr">
        <is>
          <t>2.5P 5/6</t>
        </is>
      </c>
      <c r="I4" t="inlineStr">
        <is>
          <t>2.5RP 5/6</t>
        </is>
      </c>
      <c r="J4" t="inlineStr">
        <is>
          <t>2.5R 5/6</t>
        </is>
      </c>
      <c r="K4" t="inlineStr">
        <is>
          <t>2.5YR 5/6</t>
        </is>
      </c>
      <c r="L4" t="inlineStr">
        <is>
          <t>2.5Y 5/6</t>
        </is>
      </c>
      <c r="M4" t="inlineStr">
        <is>
          <t>5B 5/6</t>
        </is>
      </c>
      <c r="N4" t="inlineStr">
        <is>
          <t>5BG 5/6</t>
        </is>
      </c>
      <c r="O4" t="inlineStr">
        <is>
          <t>5G 5/6</t>
        </is>
      </c>
      <c r="P4" t="inlineStr">
        <is>
          <t>5GY 5/6</t>
        </is>
      </c>
      <c r="Q4" t="inlineStr">
        <is>
          <t>5PB 5/6</t>
        </is>
      </c>
      <c r="R4" t="inlineStr">
        <is>
          <t>5P 5/6</t>
        </is>
      </c>
      <c r="S4" t="inlineStr">
        <is>
          <t>5RP 5/6</t>
        </is>
      </c>
      <c r="T4" t="inlineStr">
        <is>
          <t>5R 5/6</t>
        </is>
      </c>
      <c r="U4" t="inlineStr">
        <is>
          <t>5YR 5/6</t>
        </is>
      </c>
      <c r="V4" t="inlineStr">
        <is>
          <t>5Y 5/6</t>
        </is>
      </c>
      <c r="W4" t="inlineStr">
        <is>
          <t>7.5B 5/6</t>
        </is>
      </c>
      <c r="X4" t="inlineStr">
        <is>
          <t>7.5BG 5/6</t>
        </is>
      </c>
      <c r="Y4" t="inlineStr">
        <is>
          <t>7.5G 5/6</t>
        </is>
      </c>
      <c r="Z4" t="inlineStr">
        <is>
          <t>7.5GY 5/6</t>
        </is>
      </c>
      <c r="AA4" t="inlineStr">
        <is>
          <t>7.5PB 5/6</t>
        </is>
      </c>
      <c r="AB4" t="inlineStr">
        <is>
          <t>7.5P 5/6</t>
        </is>
      </c>
      <c r="AC4" t="inlineStr">
        <is>
          <t>7.5RP 5/6</t>
        </is>
      </c>
      <c r="AD4" t="inlineStr">
        <is>
          <t>7.5R 5/6</t>
        </is>
      </c>
      <c r="AE4" t="inlineStr">
        <is>
          <t>7.5YR 5/6</t>
        </is>
      </c>
      <c r="AF4" t="inlineStr">
        <is>
          <t>7.5Y 5/6</t>
        </is>
      </c>
      <c r="AG4" t="inlineStr">
        <is>
          <t>10B 5/6</t>
        </is>
      </c>
      <c r="AH4" t="inlineStr">
        <is>
          <t>10BG 5/6</t>
        </is>
      </c>
      <c r="AI4" t="inlineStr">
        <is>
          <t>10G 5/6</t>
        </is>
      </c>
      <c r="AJ4" t="inlineStr">
        <is>
          <t>10GY 5/6</t>
        </is>
      </c>
      <c r="AK4" t="inlineStr">
        <is>
          <t>10PB 5/6</t>
        </is>
      </c>
      <c r="AL4" t="inlineStr">
        <is>
          <t>10P 5/6</t>
        </is>
      </c>
      <c r="AM4" t="inlineStr">
        <is>
          <t>10RP 5/6</t>
        </is>
      </c>
      <c r="AN4" t="inlineStr">
        <is>
          <t>10R 5/6</t>
        </is>
      </c>
      <c r="AO4" t="inlineStr">
        <is>
          <t>10YR 5/6</t>
        </is>
      </c>
      <c r="AP4" t="inlineStr">
        <is>
          <t>10Y 5/6</t>
        </is>
      </c>
    </row>
    <row r="5">
      <c r="B5" t="n">
        <v>380</v>
      </c>
      <c r="C5" t="n">
        <v>0.08754887421</v>
      </c>
      <c r="D5" t="n">
        <v>0.07061577455</v>
      </c>
      <c r="E5" t="n">
        <v>0.07265424215000001</v>
      </c>
      <c r="F5" t="n">
        <v>0.04394507222</v>
      </c>
      <c r="G5" t="n">
        <v>0.134449723</v>
      </c>
      <c r="H5" t="n">
        <v>0.170901731</v>
      </c>
      <c r="I5" t="n">
        <v>0.1441644296</v>
      </c>
      <c r="J5" t="n">
        <v>0.1275131287</v>
      </c>
      <c r="K5" t="n">
        <v>0.08953363968</v>
      </c>
      <c r="L5" t="n">
        <v>0.04650443147</v>
      </c>
      <c r="M5" t="n">
        <v>0.09866464095999999</v>
      </c>
      <c r="N5" t="n">
        <v>0.06784482243000001</v>
      </c>
      <c r="O5" t="n">
        <v>0.06965127648</v>
      </c>
      <c r="P5" t="n">
        <v>0.04944294619</v>
      </c>
      <c r="Q5" t="n">
        <v>0.148814738</v>
      </c>
      <c r="R5" t="n">
        <v>0.1688318103</v>
      </c>
      <c r="S5" t="n">
        <v>0.1357075982</v>
      </c>
      <c r="T5" t="n">
        <v>0.1179621565</v>
      </c>
      <c r="U5" t="n">
        <v>0.0757463258</v>
      </c>
      <c r="V5" t="n">
        <v>0.03957048417</v>
      </c>
      <c r="W5" t="n">
        <v>0.1085655899</v>
      </c>
      <c r="X5" t="n">
        <v>0.07053930497999999</v>
      </c>
      <c r="Y5" t="n">
        <v>0.0725524</v>
      </c>
      <c r="Z5" t="n">
        <v>0.0631642628</v>
      </c>
      <c r="AA5" t="n">
        <v>0.1653949442</v>
      </c>
      <c r="AB5" t="n">
        <v>0.1551882104</v>
      </c>
      <c r="AC5" t="n">
        <v>0.1384444978</v>
      </c>
      <c r="AD5" t="n">
        <v>0.1116828991</v>
      </c>
      <c r="AE5" t="n">
        <v>0.06530961162</v>
      </c>
      <c r="AF5" t="n">
        <v>0.03668713726</v>
      </c>
      <c r="AG5" t="n">
        <v>0.1208201953</v>
      </c>
      <c r="AH5" t="n">
        <v>0.07643438245</v>
      </c>
      <c r="AI5" t="n">
        <v>0.07137710580999999</v>
      </c>
      <c r="AJ5" t="n">
        <v>0.07859516537</v>
      </c>
      <c r="AK5" t="n">
        <v>0.1696080124</v>
      </c>
      <c r="AL5" t="n">
        <v>0.1456274326</v>
      </c>
      <c r="AM5" t="n">
        <v>0.1378012583</v>
      </c>
      <c r="AN5" t="n">
        <v>0.1009871519</v>
      </c>
      <c r="AO5" t="n">
        <v>0.05565312221</v>
      </c>
      <c r="AP5" t="n">
        <v>0.03817242804</v>
      </c>
    </row>
    <row r="6">
      <c r="B6" t="n">
        <v>385</v>
      </c>
      <c r="C6" t="n">
        <v>0.08912257883999999</v>
      </c>
      <c r="D6" t="n">
        <v>0.07101322246</v>
      </c>
      <c r="E6" t="n">
        <v>0.07497062901</v>
      </c>
      <c r="F6" t="n">
        <v>0.043979868</v>
      </c>
      <c r="G6" t="n">
        <v>0.1453281395</v>
      </c>
      <c r="H6" t="n">
        <v>0.1858654419</v>
      </c>
      <c r="I6" t="n">
        <v>0.1469705165</v>
      </c>
      <c r="J6" t="n">
        <v>0.1286876113</v>
      </c>
      <c r="K6" t="n">
        <v>0.08969375774</v>
      </c>
      <c r="L6" t="n">
        <v>0.04683979842</v>
      </c>
      <c r="M6" t="n">
        <v>0.1057675015</v>
      </c>
      <c r="N6" t="n">
        <v>0.0737865256</v>
      </c>
      <c r="O6" t="n">
        <v>0.07451917845</v>
      </c>
      <c r="P6" t="n">
        <v>0.049443242</v>
      </c>
      <c r="Q6" t="n">
        <v>0.1577607358</v>
      </c>
      <c r="R6" t="n">
        <v>0.1716957087</v>
      </c>
      <c r="S6" t="n">
        <v>0.1435983392</v>
      </c>
      <c r="T6" t="n">
        <v>0.1196133623</v>
      </c>
      <c r="U6" t="n">
        <v>0.07579202124999999</v>
      </c>
      <c r="V6" t="n">
        <v>0.04007712834</v>
      </c>
      <c r="W6" t="n">
        <v>0.1180055785</v>
      </c>
      <c r="X6" t="n">
        <v>0.07325997901</v>
      </c>
      <c r="Y6" t="n">
        <v>0.07330150192</v>
      </c>
      <c r="Z6" t="n">
        <v>0.06316444914</v>
      </c>
      <c r="AA6" t="n">
        <v>0.170783579</v>
      </c>
      <c r="AB6" t="n">
        <v>0.1617861495</v>
      </c>
      <c r="AC6" t="n">
        <v>0.1443041881</v>
      </c>
      <c r="AD6" t="n">
        <v>0.1133161868</v>
      </c>
      <c r="AE6" t="n">
        <v>0.06533334816</v>
      </c>
      <c r="AF6" t="n">
        <v>0.03691875228</v>
      </c>
      <c r="AG6" t="n">
        <v>0.1278011414</v>
      </c>
      <c r="AH6" t="n">
        <v>0.08331558708</v>
      </c>
      <c r="AI6" t="n">
        <v>0.07668931873</v>
      </c>
      <c r="AJ6" t="n">
        <v>0.07865495019</v>
      </c>
      <c r="AK6" t="n">
        <v>0.1722530561</v>
      </c>
      <c r="AL6" t="n">
        <v>0.1534840585</v>
      </c>
      <c r="AM6" t="n">
        <v>0.1403994029</v>
      </c>
      <c r="AN6" t="n">
        <v>0.1018662631</v>
      </c>
      <c r="AO6" t="n">
        <v>0.05581902187</v>
      </c>
      <c r="AP6" t="n">
        <v>0.03828879003</v>
      </c>
    </row>
    <row r="7">
      <c r="B7" t="n">
        <v>390</v>
      </c>
      <c r="C7" t="n">
        <v>0.1127836679</v>
      </c>
      <c r="D7" t="n">
        <v>0.08894305867000001</v>
      </c>
      <c r="E7" t="n">
        <v>0.07728701586</v>
      </c>
      <c r="F7" t="n">
        <v>0.04401466378</v>
      </c>
      <c r="G7" t="n">
        <v>0.156206556</v>
      </c>
      <c r="H7" t="n">
        <v>0.2008291529</v>
      </c>
      <c r="I7" t="n">
        <v>0.1679306455</v>
      </c>
      <c r="J7" t="n">
        <v>0.1410892268</v>
      </c>
      <c r="K7" t="n">
        <v>0.0898538758</v>
      </c>
      <c r="L7" t="n">
        <v>0.04717503192</v>
      </c>
      <c r="M7" t="n">
        <v>0.1164694752</v>
      </c>
      <c r="N7" t="n">
        <v>0.0950080945</v>
      </c>
      <c r="O7" t="n">
        <v>0.07938708041</v>
      </c>
      <c r="P7" t="n">
        <v>0.04944353782</v>
      </c>
      <c r="Q7" t="n">
        <v>0.1675505089</v>
      </c>
      <c r="R7" t="n">
        <v>0.1774608937</v>
      </c>
      <c r="S7" t="n">
        <v>0.1539471194</v>
      </c>
      <c r="T7" t="n">
        <v>0.1292522296</v>
      </c>
      <c r="U7" t="n">
        <v>0.07583771669</v>
      </c>
      <c r="V7" t="n">
        <v>0.0405837505</v>
      </c>
      <c r="W7" t="n">
        <v>0.1274455672</v>
      </c>
      <c r="X7" t="n">
        <v>0.09797536169</v>
      </c>
      <c r="Y7" t="n">
        <v>0.07405060384000001</v>
      </c>
      <c r="Z7" t="n">
        <v>0.06316463547999999</v>
      </c>
      <c r="AA7" t="n">
        <v>0.1996688305</v>
      </c>
      <c r="AB7" t="n">
        <v>0.1963455983</v>
      </c>
      <c r="AC7" t="n">
        <v>0.1573569995</v>
      </c>
      <c r="AD7" t="n">
        <v>0.1206367067</v>
      </c>
      <c r="AE7" t="n">
        <v>0.0653570847</v>
      </c>
      <c r="AF7" t="n">
        <v>0.03715036729</v>
      </c>
      <c r="AG7" t="n">
        <v>0.1347820875</v>
      </c>
      <c r="AH7" t="n">
        <v>0.1110020109</v>
      </c>
      <c r="AI7" t="n">
        <v>0.08200153165</v>
      </c>
      <c r="AJ7" t="n">
        <v>0.07871473499999999</v>
      </c>
      <c r="AK7" t="n">
        <v>0.1762625975</v>
      </c>
      <c r="AL7" t="n">
        <v>0.1645861578</v>
      </c>
      <c r="AM7" t="n">
        <v>0.1523610288</v>
      </c>
      <c r="AN7" t="n">
        <v>0.1047184401</v>
      </c>
      <c r="AO7" t="n">
        <v>0.05598492152</v>
      </c>
      <c r="AP7" t="n">
        <v>0.03840515203</v>
      </c>
    </row>
    <row r="8">
      <c r="B8" t="n">
        <v>395</v>
      </c>
      <c r="C8" t="n">
        <v>0.1447528086</v>
      </c>
      <c r="D8" t="n">
        <v>0.1083592111</v>
      </c>
      <c r="E8" t="n">
        <v>0.07971396618</v>
      </c>
      <c r="F8" t="n">
        <v>0.04404945955</v>
      </c>
      <c r="G8" t="n">
        <v>0.1968188466</v>
      </c>
      <c r="H8" t="n">
        <v>0.2183781105</v>
      </c>
      <c r="I8" t="n">
        <v>0.1996542515</v>
      </c>
      <c r="J8" t="n">
        <v>0.1545892987</v>
      </c>
      <c r="K8" t="n">
        <v>0.09001399386</v>
      </c>
      <c r="L8" t="n">
        <v>0.04751013547</v>
      </c>
      <c r="M8" t="n">
        <v>0.1476138095</v>
      </c>
      <c r="N8" t="n">
        <v>0.1190586809</v>
      </c>
      <c r="O8" t="n">
        <v>0.09225479928999999</v>
      </c>
      <c r="P8" t="n">
        <v>0.04944383363</v>
      </c>
      <c r="Q8" t="n">
        <v>0.2106633956</v>
      </c>
      <c r="R8" t="n">
        <v>0.2256766538</v>
      </c>
      <c r="S8" t="n">
        <v>0.1833801657</v>
      </c>
      <c r="T8" t="n">
        <v>0.1397153487</v>
      </c>
      <c r="U8" t="n">
        <v>0.07588341214</v>
      </c>
      <c r="V8" t="n">
        <v>0.04109035122</v>
      </c>
      <c r="W8" t="n">
        <v>0.1582625845</v>
      </c>
      <c r="X8" t="n">
        <v>0.1272166448</v>
      </c>
      <c r="Y8" t="n">
        <v>0.08806749542</v>
      </c>
      <c r="Z8" t="n">
        <v>0.06316482180999999</v>
      </c>
      <c r="AA8" t="n">
        <v>0.2419288624</v>
      </c>
      <c r="AB8" t="n">
        <v>0.2401796023</v>
      </c>
      <c r="AC8" t="n">
        <v>0.1797817193</v>
      </c>
      <c r="AD8" t="n">
        <v>0.127691125</v>
      </c>
      <c r="AE8" t="n">
        <v>0.06538082124</v>
      </c>
      <c r="AF8" t="n">
        <v>0.03738198231</v>
      </c>
      <c r="AG8" t="n">
        <v>0.1654612754</v>
      </c>
      <c r="AH8" t="n">
        <v>0.143509832</v>
      </c>
      <c r="AI8" t="n">
        <v>0.1000265331</v>
      </c>
      <c r="AJ8" t="n">
        <v>0.07877451982</v>
      </c>
      <c r="AK8" t="n">
        <v>0.2158888035</v>
      </c>
      <c r="AL8" t="n">
        <v>0.2048542534</v>
      </c>
      <c r="AM8" t="n">
        <v>0.1685673777</v>
      </c>
      <c r="AN8" t="n">
        <v>0.1071612886</v>
      </c>
      <c r="AO8" t="n">
        <v>0.05615082117</v>
      </c>
      <c r="AP8" t="n">
        <v>0.03852151402</v>
      </c>
    </row>
    <row r="9">
      <c r="B9" t="n">
        <v>400</v>
      </c>
      <c r="C9" t="n">
        <v>0.1793149312</v>
      </c>
      <c r="D9" t="n">
        <v>0.1240461551</v>
      </c>
      <c r="E9" t="n">
        <v>0.08502299849</v>
      </c>
      <c r="F9" t="n">
        <v>0.04408425533</v>
      </c>
      <c r="G9" t="n">
        <v>0.242517909</v>
      </c>
      <c r="H9" t="n">
        <v>0.2730790883</v>
      </c>
      <c r="I9" t="n">
        <v>0.2329736877</v>
      </c>
      <c r="J9" t="n">
        <v>0.1632042887</v>
      </c>
      <c r="K9" t="n">
        <v>0.09017411191999999</v>
      </c>
      <c r="L9" t="n">
        <v>0.04784511245</v>
      </c>
      <c r="M9" t="n">
        <v>0.1831212934</v>
      </c>
      <c r="N9" t="n">
        <v>0.1384260533</v>
      </c>
      <c r="O9" t="n">
        <v>0.1016213405</v>
      </c>
      <c r="P9" t="n">
        <v>0.04944412944</v>
      </c>
      <c r="Q9" t="n">
        <v>0.2586558369</v>
      </c>
      <c r="R9" t="n">
        <v>0.2800990777</v>
      </c>
      <c r="S9" t="n">
        <v>0.209292927</v>
      </c>
      <c r="T9" t="n">
        <v>0.1456522371</v>
      </c>
      <c r="U9" t="n">
        <v>0.07592910759</v>
      </c>
      <c r="V9" t="n">
        <v>0.04159693106</v>
      </c>
      <c r="W9" t="n">
        <v>0.1943532488</v>
      </c>
      <c r="X9" t="n">
        <v>0.1515247006</v>
      </c>
      <c r="Y9" t="n">
        <v>0.09771616369</v>
      </c>
      <c r="Z9" t="n">
        <v>0.06316500814999999</v>
      </c>
      <c r="AA9" t="n">
        <v>0.2843582624</v>
      </c>
      <c r="AB9" t="n">
        <v>0.2814011598</v>
      </c>
      <c r="AC9" t="n">
        <v>0.1970614369</v>
      </c>
      <c r="AD9" t="n">
        <v>0.1306162464</v>
      </c>
      <c r="AE9" t="n">
        <v>0.06540455778</v>
      </c>
      <c r="AF9" t="n">
        <v>0.03761359733</v>
      </c>
      <c r="AG9" t="n">
        <v>0.2033945137</v>
      </c>
      <c r="AH9" t="n">
        <v>0.1742389984</v>
      </c>
      <c r="AI9" t="n">
        <v>0.11456201</v>
      </c>
      <c r="AJ9" t="n">
        <v>0.07891248106</v>
      </c>
      <c r="AK9" t="n">
        <v>0.2627729301</v>
      </c>
      <c r="AL9" t="n">
        <v>0.2462410447</v>
      </c>
      <c r="AM9" t="n">
        <v>0.1793109719</v>
      </c>
      <c r="AN9" t="n">
        <v>0.1078194392</v>
      </c>
      <c r="AO9" t="n">
        <v>0.05631672083</v>
      </c>
      <c r="AP9" t="n">
        <v>0.03863787602</v>
      </c>
    </row>
    <row r="10">
      <c r="B10" t="n">
        <v>405</v>
      </c>
      <c r="C10" t="n">
        <v>0.2068744254</v>
      </c>
      <c r="D10" t="n">
        <v>0.1332340295</v>
      </c>
      <c r="E10" t="n">
        <v>0.08788973606</v>
      </c>
      <c r="F10" t="n">
        <v>0.04411905111</v>
      </c>
      <c r="G10" t="n">
        <v>0.2814763718</v>
      </c>
      <c r="H10" t="n">
        <v>0.3186213274</v>
      </c>
      <c r="I10" t="n">
        <v>0.2558628562</v>
      </c>
      <c r="J10" t="n">
        <v>0.167017815</v>
      </c>
      <c r="K10" t="n">
        <v>0.09052383324</v>
      </c>
      <c r="L10" t="n">
        <v>0.04805417677</v>
      </c>
      <c r="M10" t="n">
        <v>0.2142211509</v>
      </c>
      <c r="N10" t="n">
        <v>0.1517314329</v>
      </c>
      <c r="O10" t="n">
        <v>0.1074325462</v>
      </c>
      <c r="P10" t="n">
        <v>0.04944442525</v>
      </c>
      <c r="Q10" t="n">
        <v>0.299056896</v>
      </c>
      <c r="R10" t="n">
        <v>0.3235320957</v>
      </c>
      <c r="S10" t="n">
        <v>0.2241718688</v>
      </c>
      <c r="T10" t="n">
        <v>0.1483135238</v>
      </c>
      <c r="U10" t="n">
        <v>0.07604642515</v>
      </c>
      <c r="V10" t="n">
        <v>0.0423710514</v>
      </c>
      <c r="W10" t="n">
        <v>0.2296302593</v>
      </c>
      <c r="X10" t="n">
        <v>0.1663411395</v>
      </c>
      <c r="Y10" t="n">
        <v>0.103596012</v>
      </c>
      <c r="Z10" t="n">
        <v>0.06316519448000001</v>
      </c>
      <c r="AA10" t="n">
        <v>0.3178238624</v>
      </c>
      <c r="AB10" t="n">
        <v>0.3038981175</v>
      </c>
      <c r="AC10" t="n">
        <v>0.2056402349</v>
      </c>
      <c r="AD10" t="n">
        <v>0.131402389</v>
      </c>
      <c r="AE10" t="n">
        <v>0.06538788481</v>
      </c>
      <c r="AF10" t="n">
        <v>0.03869815172</v>
      </c>
      <c r="AG10" t="n">
        <v>0.241505419</v>
      </c>
      <c r="AH10" t="n">
        <v>0.1942136961</v>
      </c>
      <c r="AI10" t="n">
        <v>0.1229689655</v>
      </c>
      <c r="AJ10" t="n">
        <v>0.07898668403</v>
      </c>
      <c r="AK10" t="n">
        <v>0.3049555253</v>
      </c>
      <c r="AL10" t="n">
        <v>0.2775305414</v>
      </c>
      <c r="AM10" t="n">
        <v>0.1832833328</v>
      </c>
      <c r="AN10" t="n">
        <v>0.1079395072</v>
      </c>
      <c r="AO10" t="n">
        <v>0.05608859996</v>
      </c>
      <c r="AP10" t="n">
        <v>0.03875423802</v>
      </c>
    </row>
    <row r="11">
      <c r="B11" t="n">
        <v>410</v>
      </c>
      <c r="C11" t="n">
        <v>0.2225014943</v>
      </c>
      <c r="D11" t="n">
        <v>0.1387873718</v>
      </c>
      <c r="E11" t="n">
        <v>0.08927768069</v>
      </c>
      <c r="F11" t="n">
        <v>0.0441536186</v>
      </c>
      <c r="G11" t="n">
        <v>0.3061458522</v>
      </c>
      <c r="H11" t="n">
        <v>0.3439480512</v>
      </c>
      <c r="I11" t="n">
        <v>0.2654477341</v>
      </c>
      <c r="J11" t="n">
        <v>0.1668853866</v>
      </c>
      <c r="K11" t="n">
        <v>0.09037475563</v>
      </c>
      <c r="L11" t="n">
        <v>0.0479187909</v>
      </c>
      <c r="M11" t="n">
        <v>0.2350780555</v>
      </c>
      <c r="N11" t="n">
        <v>0.1589861039</v>
      </c>
      <c r="O11" t="n">
        <v>0.1095742811</v>
      </c>
      <c r="P11" t="n">
        <v>0.04944294619</v>
      </c>
      <c r="Q11" t="n">
        <v>0.3232149304</v>
      </c>
      <c r="R11" t="n">
        <v>0.3481968792</v>
      </c>
      <c r="S11" t="n">
        <v>0.2295670784</v>
      </c>
      <c r="T11" t="n">
        <v>0.1482457524</v>
      </c>
      <c r="U11" t="n">
        <v>0.07590959288</v>
      </c>
      <c r="V11" t="n">
        <v>0.04213182939</v>
      </c>
      <c r="W11" t="n">
        <v>0.2553944705</v>
      </c>
      <c r="X11" t="n">
        <v>0.1771144886</v>
      </c>
      <c r="Y11" t="n">
        <v>0.1066396433</v>
      </c>
      <c r="Z11" t="n">
        <v>0.0631642628</v>
      </c>
      <c r="AA11" t="n">
        <v>0.3360960194</v>
      </c>
      <c r="AB11" t="n">
        <v>0.315070579</v>
      </c>
      <c r="AC11" t="n">
        <v>0.2072022411</v>
      </c>
      <c r="AD11" t="n">
        <v>0.1309044838</v>
      </c>
      <c r="AE11" t="n">
        <v>0.06536054214000001</v>
      </c>
      <c r="AF11" t="n">
        <v>0.03839452074</v>
      </c>
      <c r="AG11" t="n">
        <v>0.2711222285</v>
      </c>
      <c r="AH11" t="n">
        <v>0.2065021729</v>
      </c>
      <c r="AI11" t="n">
        <v>0.1274249591</v>
      </c>
      <c r="AJ11" t="n">
        <v>0.07902289074</v>
      </c>
      <c r="AK11" t="n">
        <v>0.3308256401</v>
      </c>
      <c r="AL11" t="n">
        <v>0.2905892482</v>
      </c>
      <c r="AM11" t="n">
        <v>0.1827842688</v>
      </c>
      <c r="AN11" t="n">
        <v>0.10753051</v>
      </c>
      <c r="AO11" t="n">
        <v>0.05604461717</v>
      </c>
      <c r="AP11" t="n">
        <v>0.03959883348</v>
      </c>
    </row>
    <row r="12">
      <c r="B12" t="n">
        <v>415</v>
      </c>
      <c r="C12" t="n">
        <v>0.2311255352</v>
      </c>
      <c r="D12" t="n">
        <v>0.142429495</v>
      </c>
      <c r="E12" t="n">
        <v>0.09005956236</v>
      </c>
      <c r="F12" t="n">
        <v>0.04403859826</v>
      </c>
      <c r="G12" t="n">
        <v>0.3191016836</v>
      </c>
      <c r="H12" t="n">
        <v>0.3546362104</v>
      </c>
      <c r="I12" t="n">
        <v>0.2688361146</v>
      </c>
      <c r="J12" t="n">
        <v>0.1654517094</v>
      </c>
      <c r="K12" t="n">
        <v>0.0897332155</v>
      </c>
      <c r="L12" t="n">
        <v>0.04748886006</v>
      </c>
      <c r="M12" t="n">
        <v>0.2455495462</v>
      </c>
      <c r="N12" t="n">
        <v>0.1636269604</v>
      </c>
      <c r="O12" t="n">
        <v>0.1113111818</v>
      </c>
      <c r="P12" t="n">
        <v>0.04947199374</v>
      </c>
      <c r="Q12" t="n">
        <v>0.3346660057</v>
      </c>
      <c r="R12" t="n">
        <v>0.3566312784</v>
      </c>
      <c r="S12" t="n">
        <v>0.2304657682</v>
      </c>
      <c r="T12" t="n">
        <v>0.146884286</v>
      </c>
      <c r="U12" t="n">
        <v>0.07606141693</v>
      </c>
      <c r="V12" t="n">
        <v>0.04152441655</v>
      </c>
      <c r="W12" t="n">
        <v>0.2673201145</v>
      </c>
      <c r="X12" t="n">
        <v>0.1824341878</v>
      </c>
      <c r="Y12" t="n">
        <v>0.1093290397</v>
      </c>
      <c r="Z12" t="n">
        <v>0.06337901545999999</v>
      </c>
      <c r="AA12" t="n">
        <v>0.3452003979</v>
      </c>
      <c r="AB12" t="n">
        <v>0.3171724366</v>
      </c>
      <c r="AC12" t="n">
        <v>0.2062757633</v>
      </c>
      <c r="AD12" t="n">
        <v>0.1293010789</v>
      </c>
      <c r="AE12" t="n">
        <v>0.06532461207</v>
      </c>
      <c r="AF12" t="n">
        <v>0.03798544348</v>
      </c>
      <c r="AG12" t="n">
        <v>0.2851107716</v>
      </c>
      <c r="AH12" t="n">
        <v>0.212579197</v>
      </c>
      <c r="AI12" t="n">
        <v>0.1310731735</v>
      </c>
      <c r="AJ12" t="n">
        <v>0.0794673924</v>
      </c>
      <c r="AK12" t="n">
        <v>0.3442047281</v>
      </c>
      <c r="AL12" t="n">
        <v>0.295909067</v>
      </c>
      <c r="AM12" t="n">
        <v>0.1810527666</v>
      </c>
      <c r="AN12" t="n">
        <v>0.1060322064</v>
      </c>
      <c r="AO12" t="n">
        <v>0.05579938703</v>
      </c>
      <c r="AP12" t="n">
        <v>0.03904938477</v>
      </c>
    </row>
    <row r="13">
      <c r="B13" t="n">
        <v>420</v>
      </c>
      <c r="C13" t="n">
        <v>0.2349059067</v>
      </c>
      <c r="D13" t="n">
        <v>0.1454773443</v>
      </c>
      <c r="E13" t="n">
        <v>0.09140278474000001</v>
      </c>
      <c r="F13" t="n">
        <v>0.04396145811</v>
      </c>
      <c r="G13" t="n">
        <v>0.3247741137</v>
      </c>
      <c r="H13" t="n">
        <v>0.3591588511</v>
      </c>
      <c r="I13" t="n">
        <v>0.2690313307</v>
      </c>
      <c r="J13" t="n">
        <v>0.1639640476</v>
      </c>
      <c r="K13" t="n">
        <v>0.08988318062</v>
      </c>
      <c r="L13" t="n">
        <v>0.04718929068</v>
      </c>
      <c r="M13" t="n">
        <v>0.2494854074</v>
      </c>
      <c r="N13" t="n">
        <v>0.1676772238</v>
      </c>
      <c r="O13" t="n">
        <v>0.1132129836</v>
      </c>
      <c r="P13" t="n">
        <v>0.0495783276</v>
      </c>
      <c r="Q13" t="n">
        <v>0.3404691445</v>
      </c>
      <c r="R13" t="n">
        <v>0.3589596492</v>
      </c>
      <c r="S13" t="n">
        <v>0.2295481373</v>
      </c>
      <c r="T13" t="n">
        <v>0.1456869811</v>
      </c>
      <c r="U13" t="n">
        <v>0.07591224233</v>
      </c>
      <c r="V13" t="n">
        <v>0.04106105675</v>
      </c>
      <c r="W13" t="n">
        <v>0.2707211622</v>
      </c>
      <c r="X13" t="n">
        <v>0.1873876422</v>
      </c>
      <c r="Y13" t="n">
        <v>0.1120688518</v>
      </c>
      <c r="Z13" t="n">
        <v>0.063626417</v>
      </c>
      <c r="AA13" t="n">
        <v>0.3506964685</v>
      </c>
      <c r="AB13" t="n">
        <v>0.3173741483</v>
      </c>
      <c r="AC13" t="n">
        <v>0.2034867317</v>
      </c>
      <c r="AD13" t="n">
        <v>0.1279108635</v>
      </c>
      <c r="AE13" t="n">
        <v>0.06534611099</v>
      </c>
      <c r="AF13" t="n">
        <v>0.03771860924</v>
      </c>
      <c r="AG13" t="n">
        <v>0.289925869</v>
      </c>
      <c r="AH13" t="n">
        <v>0.2180435396</v>
      </c>
      <c r="AI13" t="n">
        <v>0.1335124754</v>
      </c>
      <c r="AJ13" t="n">
        <v>0.07989220399999999</v>
      </c>
      <c r="AK13" t="n">
        <v>0.3512746421</v>
      </c>
      <c r="AL13" t="n">
        <v>0.2966907085</v>
      </c>
      <c r="AM13" t="n">
        <v>0.1788068934</v>
      </c>
      <c r="AN13" t="n">
        <v>0.1055696162</v>
      </c>
      <c r="AO13" t="n">
        <v>0.0556601827</v>
      </c>
      <c r="AP13" t="n">
        <v>0.03858595869</v>
      </c>
    </row>
    <row r="14">
      <c r="B14" t="n">
        <v>425</v>
      </c>
      <c r="C14" t="n">
        <v>0.2438066736</v>
      </c>
      <c r="D14" t="n">
        <v>0.1495257577</v>
      </c>
      <c r="E14" t="n">
        <v>0.09288923827999999</v>
      </c>
      <c r="F14" t="n">
        <v>0.04400334041</v>
      </c>
      <c r="G14" t="n">
        <v>0.3298515776</v>
      </c>
      <c r="H14" t="n">
        <v>0.3606091314</v>
      </c>
      <c r="I14" t="n">
        <v>0.2677989389</v>
      </c>
      <c r="J14" t="n">
        <v>0.1619040294</v>
      </c>
      <c r="K14" t="n">
        <v>0.09018108122</v>
      </c>
      <c r="L14" t="n">
        <v>0.04690048073</v>
      </c>
      <c r="M14" t="n">
        <v>0.2619552362</v>
      </c>
      <c r="N14" t="n">
        <v>0.1726963577</v>
      </c>
      <c r="O14" t="n">
        <v>0.1144369582</v>
      </c>
      <c r="P14" t="n">
        <v>0.04955606462</v>
      </c>
      <c r="Q14" t="n">
        <v>0.3447784459</v>
      </c>
      <c r="R14" t="n">
        <v>0.3566793198</v>
      </c>
      <c r="S14" t="n">
        <v>0.2282651042</v>
      </c>
      <c r="T14" t="n">
        <v>0.1441115913</v>
      </c>
      <c r="U14" t="n">
        <v>0.07583940567</v>
      </c>
      <c r="V14" t="n">
        <v>0.04043426463</v>
      </c>
      <c r="W14" t="n">
        <v>0.2853450282</v>
      </c>
      <c r="X14" t="n">
        <v>0.1936548545</v>
      </c>
      <c r="Y14" t="n">
        <v>0.1151541438</v>
      </c>
      <c r="Z14" t="n">
        <v>0.06384795404</v>
      </c>
      <c r="AA14" t="n">
        <v>0.3548033324</v>
      </c>
      <c r="AB14" t="n">
        <v>0.3162129005</v>
      </c>
      <c r="AC14" t="n">
        <v>0.2009447779</v>
      </c>
      <c r="AD14" t="n">
        <v>0.1266546997</v>
      </c>
      <c r="AE14" t="n">
        <v>0.06542857840000001</v>
      </c>
      <c r="AF14" t="n">
        <v>0.03718934967</v>
      </c>
      <c r="AG14" t="n">
        <v>0.3030676689</v>
      </c>
      <c r="AH14" t="n">
        <v>0.2246688847</v>
      </c>
      <c r="AI14" t="n">
        <v>0.1366273995</v>
      </c>
      <c r="AJ14" t="n">
        <v>0.08044237039</v>
      </c>
      <c r="AK14" t="n">
        <v>0.3571250464</v>
      </c>
      <c r="AL14" t="n">
        <v>0.2953167367</v>
      </c>
      <c r="AM14" t="n">
        <v>0.1764606972</v>
      </c>
      <c r="AN14" t="n">
        <v>0.1054070473</v>
      </c>
      <c r="AO14" t="n">
        <v>0.055660293</v>
      </c>
      <c r="AP14" t="n">
        <v>0.03846059687</v>
      </c>
    </row>
    <row r="15">
      <c r="B15" t="n">
        <v>430</v>
      </c>
      <c r="C15" t="n">
        <v>0.247311283</v>
      </c>
      <c r="D15" t="n">
        <v>0.1531773257</v>
      </c>
      <c r="E15" t="n">
        <v>0.09457887833</v>
      </c>
      <c r="F15" t="n">
        <v>0.0441096575</v>
      </c>
      <c r="G15" t="n">
        <v>0.3353907541</v>
      </c>
      <c r="H15" t="n">
        <v>0.3609772177</v>
      </c>
      <c r="I15" t="n">
        <v>0.2651310712</v>
      </c>
      <c r="J15" t="n">
        <v>0.1607806399</v>
      </c>
      <c r="K15" t="n">
        <v>0.09017446251</v>
      </c>
      <c r="L15" t="n">
        <v>0.04686502771</v>
      </c>
      <c r="M15" t="n">
        <v>0.2665142243</v>
      </c>
      <c r="N15" t="n">
        <v>0.1785462085</v>
      </c>
      <c r="O15" t="n">
        <v>0.1162065057</v>
      </c>
      <c r="P15" t="n">
        <v>0.04970267692</v>
      </c>
      <c r="Q15" t="n">
        <v>0.3491086762</v>
      </c>
      <c r="R15" t="n">
        <v>0.3527765155</v>
      </c>
      <c r="S15" t="n">
        <v>0.2256082921</v>
      </c>
      <c r="T15" t="n">
        <v>0.1430478135</v>
      </c>
      <c r="U15" t="n">
        <v>0.07599781962</v>
      </c>
      <c r="V15" t="n">
        <v>0.04020201995</v>
      </c>
      <c r="W15" t="n">
        <v>0.2893670851</v>
      </c>
      <c r="X15" t="n">
        <v>0.1994420075</v>
      </c>
      <c r="Y15" t="n">
        <v>0.1186920043</v>
      </c>
      <c r="Z15" t="n">
        <v>0.06413781801</v>
      </c>
      <c r="AA15" t="n">
        <v>0.3596533265</v>
      </c>
      <c r="AB15" t="n">
        <v>0.3144448775</v>
      </c>
      <c r="AC15" t="n">
        <v>0.1987027495</v>
      </c>
      <c r="AD15" t="n">
        <v>0.1256622433</v>
      </c>
      <c r="AE15" t="n">
        <v>0.06566563834</v>
      </c>
      <c r="AF15" t="n">
        <v>0.03684351371</v>
      </c>
      <c r="AG15" t="n">
        <v>0.3067716191</v>
      </c>
      <c r="AH15" t="n">
        <v>0.230279275</v>
      </c>
      <c r="AI15" t="n">
        <v>0.140397323</v>
      </c>
      <c r="AJ15" t="n">
        <v>0.08091362122</v>
      </c>
      <c r="AK15" t="n">
        <v>0.3608034128</v>
      </c>
      <c r="AL15" t="n">
        <v>0.2922661373</v>
      </c>
      <c r="AM15" t="n">
        <v>0.175292539</v>
      </c>
      <c r="AN15" t="n">
        <v>0.104913877</v>
      </c>
      <c r="AO15" t="n">
        <v>0.05578764761</v>
      </c>
      <c r="AP15" t="n">
        <v>0.03819961967</v>
      </c>
    </row>
    <row r="16">
      <c r="B16" t="n">
        <v>435</v>
      </c>
      <c r="C16" t="n">
        <v>0.2565170084</v>
      </c>
      <c r="D16" t="n">
        <v>0.1578635022</v>
      </c>
      <c r="E16" t="n">
        <v>0.09624448631</v>
      </c>
      <c r="F16" t="n">
        <v>0.04447710499</v>
      </c>
      <c r="G16" t="n">
        <v>0.3400180394</v>
      </c>
      <c r="H16" t="n">
        <v>0.3581031488</v>
      </c>
      <c r="I16" t="n">
        <v>0.2615299647</v>
      </c>
      <c r="J16" t="n">
        <v>0.1601961722</v>
      </c>
      <c r="K16" t="n">
        <v>0.08998800176000001</v>
      </c>
      <c r="L16" t="n">
        <v>0.04681075414</v>
      </c>
      <c r="M16" t="n">
        <v>0.2771593523</v>
      </c>
      <c r="N16" t="n">
        <v>0.1829811549</v>
      </c>
      <c r="O16" t="n">
        <v>0.1184687333</v>
      </c>
      <c r="P16" t="n">
        <v>0.05005076482</v>
      </c>
      <c r="Q16" t="n">
        <v>0.3521012877</v>
      </c>
      <c r="R16" t="n">
        <v>0.3477417246</v>
      </c>
      <c r="S16" t="n">
        <v>0.2234421057</v>
      </c>
      <c r="T16" t="n">
        <v>0.142449775</v>
      </c>
      <c r="U16" t="n">
        <v>0.07587841175</v>
      </c>
      <c r="V16" t="n">
        <v>0.03989173199</v>
      </c>
      <c r="W16" t="n">
        <v>0.300569659</v>
      </c>
      <c r="X16" t="n">
        <v>0.206426302</v>
      </c>
      <c r="Y16" t="n">
        <v>0.1234807804</v>
      </c>
      <c r="Z16" t="n">
        <v>0.06470537455</v>
      </c>
      <c r="AA16" t="n">
        <v>0.3623522998</v>
      </c>
      <c r="AB16" t="n">
        <v>0.3118182583</v>
      </c>
      <c r="AC16" t="n">
        <v>0.1968230235</v>
      </c>
      <c r="AD16" t="n">
        <v>0.1251853766</v>
      </c>
      <c r="AE16" t="n">
        <v>0.06569151451999999</v>
      </c>
      <c r="AF16" t="n">
        <v>0.03672677914</v>
      </c>
      <c r="AG16" t="n">
        <v>0.3170413478</v>
      </c>
      <c r="AH16" t="n">
        <v>0.2376396525</v>
      </c>
      <c r="AI16" t="n">
        <v>0.1447447085</v>
      </c>
      <c r="AJ16" t="n">
        <v>0.08170854477</v>
      </c>
      <c r="AK16" t="n">
        <v>0.3637753947</v>
      </c>
      <c r="AL16" t="n">
        <v>0.288445808</v>
      </c>
      <c r="AM16" t="n">
        <v>0.1746283031</v>
      </c>
      <c r="AN16" t="n">
        <v>0.1046233285</v>
      </c>
      <c r="AO16" t="n">
        <v>0.05593099175</v>
      </c>
      <c r="AP16" t="n">
        <v>0.0381883338</v>
      </c>
    </row>
    <row r="17">
      <c r="B17" t="n">
        <v>440</v>
      </c>
      <c r="C17" t="n">
        <v>0.2641245704</v>
      </c>
      <c r="D17" t="n">
        <v>0.1623698006</v>
      </c>
      <c r="E17" t="n">
        <v>0.09939060343</v>
      </c>
      <c r="F17" t="n">
        <v>0.04481730169</v>
      </c>
      <c r="G17" t="n">
        <v>0.3479813524</v>
      </c>
      <c r="H17" t="n">
        <v>0.3549200555</v>
      </c>
      <c r="I17" t="n">
        <v>0.2569549282</v>
      </c>
      <c r="J17" t="n">
        <v>0.1597069355</v>
      </c>
      <c r="K17" t="n">
        <v>0.08995148108999999</v>
      </c>
      <c r="L17" t="n">
        <v>0.04684345729</v>
      </c>
      <c r="M17" t="n">
        <v>0.2896690076</v>
      </c>
      <c r="N17" t="n">
        <v>0.1889342021</v>
      </c>
      <c r="O17" t="n">
        <v>0.1209595791</v>
      </c>
      <c r="P17" t="n">
        <v>0.05042331422</v>
      </c>
      <c r="Q17" t="n">
        <v>0.3568132466</v>
      </c>
      <c r="R17" t="n">
        <v>0.3416713472</v>
      </c>
      <c r="S17" t="n">
        <v>0.2208322177</v>
      </c>
      <c r="T17" t="n">
        <v>0.1418299998</v>
      </c>
      <c r="U17" t="n">
        <v>0.07613820735</v>
      </c>
      <c r="V17" t="n">
        <v>0.03987697964</v>
      </c>
      <c r="W17" t="n">
        <v>0.3159900647</v>
      </c>
      <c r="X17" t="n">
        <v>0.2121096282</v>
      </c>
      <c r="Y17" t="n">
        <v>0.1282257103</v>
      </c>
      <c r="Z17" t="n">
        <v>0.06543336791</v>
      </c>
      <c r="AA17" t="n">
        <v>0.365258429</v>
      </c>
      <c r="AB17" t="n">
        <v>0.3088965901</v>
      </c>
      <c r="AC17" t="n">
        <v>0.1967207455</v>
      </c>
      <c r="AD17" t="n">
        <v>0.1247950194</v>
      </c>
      <c r="AE17" t="n">
        <v>0.06596174303000001</v>
      </c>
      <c r="AF17" t="n">
        <v>0.03695727817</v>
      </c>
      <c r="AG17" t="n">
        <v>0.3318854625</v>
      </c>
      <c r="AH17" t="n">
        <v>0.2447616017</v>
      </c>
      <c r="AI17" t="n">
        <v>0.1486315765</v>
      </c>
      <c r="AJ17" t="n">
        <v>0.08285767843</v>
      </c>
      <c r="AK17" t="n">
        <v>0.3650944586</v>
      </c>
      <c r="AL17" t="n">
        <v>0.2823429671</v>
      </c>
      <c r="AM17" t="n">
        <v>0.1750629538</v>
      </c>
      <c r="AN17" t="n">
        <v>0.1043729401</v>
      </c>
      <c r="AO17" t="n">
        <v>0.05601093661</v>
      </c>
      <c r="AP17" t="n">
        <v>0.0385105986</v>
      </c>
    </row>
    <row r="18">
      <c r="B18" t="n">
        <v>445</v>
      </c>
      <c r="C18" t="n">
        <v>0.2732875048</v>
      </c>
      <c r="D18" t="n">
        <v>0.1679867883</v>
      </c>
      <c r="E18" t="n">
        <v>0.1024910984</v>
      </c>
      <c r="F18" t="n">
        <v>0.04527048207</v>
      </c>
      <c r="G18" t="n">
        <v>0.3549188813</v>
      </c>
      <c r="H18" t="n">
        <v>0.3492152604</v>
      </c>
      <c r="I18" t="n">
        <v>0.2526313654</v>
      </c>
      <c r="J18" t="n">
        <v>0.1583005678</v>
      </c>
      <c r="K18" t="n">
        <v>0.08988983614</v>
      </c>
      <c r="L18" t="n">
        <v>0.04688840467</v>
      </c>
      <c r="M18" t="n">
        <v>0.3006879003</v>
      </c>
      <c r="N18" t="n">
        <v>0.1961080689</v>
      </c>
      <c r="O18" t="n">
        <v>0.1242805449</v>
      </c>
      <c r="P18" t="n">
        <v>0.05123628987</v>
      </c>
      <c r="Q18" t="n">
        <v>0.362094011</v>
      </c>
      <c r="R18" t="n">
        <v>0.3329717722</v>
      </c>
      <c r="S18" t="n">
        <v>0.2182050301</v>
      </c>
      <c r="T18" t="n">
        <v>0.140797463</v>
      </c>
      <c r="U18" t="n">
        <v>0.07617520667</v>
      </c>
      <c r="V18" t="n">
        <v>0.03963382373</v>
      </c>
      <c r="W18" t="n">
        <v>0.3268663964</v>
      </c>
      <c r="X18" t="n">
        <v>0.2200482917</v>
      </c>
      <c r="Y18" t="n">
        <v>0.134797959</v>
      </c>
      <c r="Z18" t="n">
        <v>0.06665363726</v>
      </c>
      <c r="AA18" t="n">
        <v>0.3664224255</v>
      </c>
      <c r="AB18" t="n">
        <v>0.3042175114</v>
      </c>
      <c r="AC18" t="n">
        <v>0.1947410271</v>
      </c>
      <c r="AD18" t="n">
        <v>0.1240280009</v>
      </c>
      <c r="AE18" t="n">
        <v>0.06616416949999999</v>
      </c>
      <c r="AF18" t="n">
        <v>0.03698148145</v>
      </c>
      <c r="AG18" t="n">
        <v>0.3439565034</v>
      </c>
      <c r="AH18" t="n">
        <v>0.2519482626</v>
      </c>
      <c r="AI18" t="n">
        <v>0.1547502135</v>
      </c>
      <c r="AJ18" t="n">
        <v>0.08446507305000001</v>
      </c>
      <c r="AK18" t="n">
        <v>0.3638408477</v>
      </c>
      <c r="AL18" t="n">
        <v>0.2780590269</v>
      </c>
      <c r="AM18" t="n">
        <v>0.1737067317</v>
      </c>
      <c r="AN18" t="n">
        <v>0.1040455736</v>
      </c>
      <c r="AO18" t="n">
        <v>0.05627804447</v>
      </c>
      <c r="AP18" t="n">
        <v>0.03871670856</v>
      </c>
    </row>
    <row r="19">
      <c r="B19" t="n">
        <v>450</v>
      </c>
      <c r="C19" t="n">
        <v>0.2834367654</v>
      </c>
      <c r="D19" t="n">
        <v>0.1773043916</v>
      </c>
      <c r="E19" t="n">
        <v>0.1068204308</v>
      </c>
      <c r="F19" t="n">
        <v>0.04577831482</v>
      </c>
      <c r="G19" t="n">
        <v>0.3596330684</v>
      </c>
      <c r="H19" t="n">
        <v>0.3429560701</v>
      </c>
      <c r="I19" t="n">
        <v>0.2467281757</v>
      </c>
      <c r="J19" t="n">
        <v>0.1574439181</v>
      </c>
      <c r="K19" t="n">
        <v>0.09042372456</v>
      </c>
      <c r="L19" t="n">
        <v>0.04732663425</v>
      </c>
      <c r="M19" t="n">
        <v>0.3112085176</v>
      </c>
      <c r="N19" t="n">
        <v>0.2057513378</v>
      </c>
      <c r="O19" t="n">
        <v>0.1285718344</v>
      </c>
      <c r="P19" t="n">
        <v>0.0522137997</v>
      </c>
      <c r="Q19" t="n">
        <v>0.3641351748</v>
      </c>
      <c r="R19" t="n">
        <v>0.3238918179</v>
      </c>
      <c r="S19" t="n">
        <v>0.2149641431</v>
      </c>
      <c r="T19" t="n">
        <v>0.1401555102</v>
      </c>
      <c r="U19" t="n">
        <v>0.07644695611000001</v>
      </c>
      <c r="V19" t="n">
        <v>0.04004613837</v>
      </c>
      <c r="W19" t="n">
        <v>0.335598226</v>
      </c>
      <c r="X19" t="n">
        <v>0.2290928399</v>
      </c>
      <c r="Y19" t="n">
        <v>0.1425020164</v>
      </c>
      <c r="Z19" t="n">
        <v>0.06810442355</v>
      </c>
      <c r="AA19" t="n">
        <v>0.3650351304</v>
      </c>
      <c r="AB19" t="n">
        <v>0.2984370385</v>
      </c>
      <c r="AC19" t="n">
        <v>0.1927255611</v>
      </c>
      <c r="AD19" t="n">
        <v>0.1235912074</v>
      </c>
      <c r="AE19" t="n">
        <v>0.06642868582</v>
      </c>
      <c r="AF19" t="n">
        <v>0.03733031446</v>
      </c>
      <c r="AG19" t="n">
        <v>0.351664375</v>
      </c>
      <c r="AH19" t="n">
        <v>0.2627155187</v>
      </c>
      <c r="AI19" t="n">
        <v>0.1619387694</v>
      </c>
      <c r="AJ19" t="n">
        <v>0.08637877878</v>
      </c>
      <c r="AK19" t="n">
        <v>0.3596306926</v>
      </c>
      <c r="AL19" t="n">
        <v>0.2718661665</v>
      </c>
      <c r="AM19" t="n">
        <v>0.1728033248</v>
      </c>
      <c r="AN19" t="n">
        <v>0.1042816626</v>
      </c>
      <c r="AO19" t="n">
        <v>0.056695957</v>
      </c>
      <c r="AP19" t="n">
        <v>0.03915861932</v>
      </c>
    </row>
    <row r="20">
      <c r="B20" t="n">
        <v>455</v>
      </c>
      <c r="C20" t="n">
        <v>0.2934081644</v>
      </c>
      <c r="D20" t="n">
        <v>0.1871214729</v>
      </c>
      <c r="E20" t="n">
        <v>0.1127912023</v>
      </c>
      <c r="F20" t="n">
        <v>0.04649603655</v>
      </c>
      <c r="G20" t="n">
        <v>0.3604808746</v>
      </c>
      <c r="H20" t="n">
        <v>0.3347415234</v>
      </c>
      <c r="I20" t="n">
        <v>0.2414627773</v>
      </c>
      <c r="J20" t="n">
        <v>0.1561212856</v>
      </c>
      <c r="K20" t="n">
        <v>0.09045022926</v>
      </c>
      <c r="L20" t="n">
        <v>0.04757282641</v>
      </c>
      <c r="M20" t="n">
        <v>0.3209877573</v>
      </c>
      <c r="N20" t="n">
        <v>0.2170188364</v>
      </c>
      <c r="O20" t="n">
        <v>0.1338300279</v>
      </c>
      <c r="P20" t="n">
        <v>0.05374194685</v>
      </c>
      <c r="Q20" t="n">
        <v>0.3616893619</v>
      </c>
      <c r="R20" t="n">
        <v>0.3130712678</v>
      </c>
      <c r="S20" t="n">
        <v>0.2117455809</v>
      </c>
      <c r="T20" t="n">
        <v>0.1389943479</v>
      </c>
      <c r="U20" t="n">
        <v>0.07678134704</v>
      </c>
      <c r="V20" t="n">
        <v>0.04042669224</v>
      </c>
      <c r="W20" t="n">
        <v>0.3420572571</v>
      </c>
      <c r="X20" t="n">
        <v>0.2409320738</v>
      </c>
      <c r="Y20" t="n">
        <v>0.1521247985</v>
      </c>
      <c r="Z20" t="n">
        <v>0.07031487996000001</v>
      </c>
      <c r="AA20" t="n">
        <v>0.3619359467</v>
      </c>
      <c r="AB20" t="n">
        <v>0.2927726057</v>
      </c>
      <c r="AC20" t="n">
        <v>0.1904040663</v>
      </c>
      <c r="AD20" t="n">
        <v>0.1230529637</v>
      </c>
      <c r="AE20" t="n">
        <v>0.06667078746000001</v>
      </c>
      <c r="AF20" t="n">
        <v>0.03779668546</v>
      </c>
      <c r="AG20" t="n">
        <v>0.3559146875</v>
      </c>
      <c r="AH20" t="n">
        <v>0.2721690078</v>
      </c>
      <c r="AI20" t="n">
        <v>0.170670485</v>
      </c>
      <c r="AJ20" t="n">
        <v>0.08922713983</v>
      </c>
      <c r="AK20" t="n">
        <v>0.354679448</v>
      </c>
      <c r="AL20" t="n">
        <v>0.2649615485</v>
      </c>
      <c r="AM20" t="n">
        <v>0.171899067</v>
      </c>
      <c r="AN20" t="n">
        <v>0.1040749285</v>
      </c>
      <c r="AO20" t="n">
        <v>0.05682357985</v>
      </c>
      <c r="AP20" t="n">
        <v>0.04000166361</v>
      </c>
    </row>
    <row r="21">
      <c r="B21" t="n">
        <v>460</v>
      </c>
      <c r="C21" t="n">
        <v>0.3067638394</v>
      </c>
      <c r="D21" t="n">
        <v>0.2005232976</v>
      </c>
      <c r="E21" t="n">
        <v>0.1210284707</v>
      </c>
      <c r="F21" t="n">
        <v>0.04737987018</v>
      </c>
      <c r="G21" t="n">
        <v>0.3612393914</v>
      </c>
      <c r="H21" t="n">
        <v>0.3254850888</v>
      </c>
      <c r="I21" t="n">
        <v>0.2355861135</v>
      </c>
      <c r="J21" t="n">
        <v>0.1550443758</v>
      </c>
      <c r="K21" t="n">
        <v>0.09126544386</v>
      </c>
      <c r="L21" t="n">
        <v>0.0480917285</v>
      </c>
      <c r="M21" t="n">
        <v>0.3326320052</v>
      </c>
      <c r="N21" t="n">
        <v>0.2312810377</v>
      </c>
      <c r="O21" t="n">
        <v>0.1419183768</v>
      </c>
      <c r="P21" t="n">
        <v>0.05566246959</v>
      </c>
      <c r="Q21" t="n">
        <v>0.361294226</v>
      </c>
      <c r="R21" t="n">
        <v>0.3036380982</v>
      </c>
      <c r="S21" t="n">
        <v>0.2086345378</v>
      </c>
      <c r="T21" t="n">
        <v>0.1380115686</v>
      </c>
      <c r="U21" t="n">
        <v>0.07709733177</v>
      </c>
      <c r="V21" t="n">
        <v>0.04104195922</v>
      </c>
      <c r="W21" t="n">
        <v>0.3475308786</v>
      </c>
      <c r="X21" t="n">
        <v>0.2554124895</v>
      </c>
      <c r="Y21" t="n">
        <v>0.1653127693</v>
      </c>
      <c r="Z21" t="n">
        <v>0.07317031943000001</v>
      </c>
      <c r="AA21" t="n">
        <v>0.3578252085</v>
      </c>
      <c r="AB21" t="n">
        <v>0.284603624</v>
      </c>
      <c r="AC21" t="n">
        <v>0.1887542042</v>
      </c>
      <c r="AD21" t="n">
        <v>0.122791506</v>
      </c>
      <c r="AE21" t="n">
        <v>0.06708553067</v>
      </c>
      <c r="AF21" t="n">
        <v>0.03849000426</v>
      </c>
      <c r="AG21" t="n">
        <v>0.3591171916</v>
      </c>
      <c r="AH21" t="n">
        <v>0.2848733077</v>
      </c>
      <c r="AI21" t="n">
        <v>0.1827107925</v>
      </c>
      <c r="AJ21" t="n">
        <v>0.09299578846000001</v>
      </c>
      <c r="AK21" t="n">
        <v>0.3484905294</v>
      </c>
      <c r="AL21" t="n">
        <v>0.2590842315</v>
      </c>
      <c r="AM21" t="n">
        <v>0.1713657798</v>
      </c>
      <c r="AN21" t="n">
        <v>0.1048003117</v>
      </c>
      <c r="AO21" t="n">
        <v>0.05722843167</v>
      </c>
      <c r="AP21" t="n">
        <v>0.04108525768</v>
      </c>
    </row>
    <row r="22">
      <c r="B22" t="n">
        <v>465</v>
      </c>
      <c r="C22" t="n">
        <v>0.3230212289</v>
      </c>
      <c r="D22" t="n">
        <v>0.2184723507</v>
      </c>
      <c r="E22" t="n">
        <v>0.1316210591</v>
      </c>
      <c r="F22" t="n">
        <v>0.04855746918</v>
      </c>
      <c r="G22" t="n">
        <v>0.3596453712</v>
      </c>
      <c r="H22" t="n">
        <v>0.3154099982</v>
      </c>
      <c r="I22" t="n">
        <v>0.2298496907</v>
      </c>
      <c r="J22" t="n">
        <v>0.1541140505</v>
      </c>
      <c r="K22" t="n">
        <v>0.09123552056000001</v>
      </c>
      <c r="L22" t="n">
        <v>0.04858048607</v>
      </c>
      <c r="M22" t="n">
        <v>0.3456152865</v>
      </c>
      <c r="N22" t="n">
        <v>0.2486849881</v>
      </c>
      <c r="O22" t="n">
        <v>0.1519584904</v>
      </c>
      <c r="P22" t="n">
        <v>0.05822124438</v>
      </c>
      <c r="Q22" t="n">
        <v>0.3595857994</v>
      </c>
      <c r="R22" t="n">
        <v>0.2911365727</v>
      </c>
      <c r="S22" t="n">
        <v>0.2056410375</v>
      </c>
      <c r="T22" t="n">
        <v>0.1371492307</v>
      </c>
      <c r="U22" t="n">
        <v>0.07717333759</v>
      </c>
      <c r="V22" t="n">
        <v>0.04188932589</v>
      </c>
      <c r="W22" t="n">
        <v>0.3555134283</v>
      </c>
      <c r="X22" t="n">
        <v>0.2733606904</v>
      </c>
      <c r="Y22" t="n">
        <v>0.1801310738</v>
      </c>
      <c r="Z22" t="n">
        <v>0.07687788622</v>
      </c>
      <c r="AA22" t="n">
        <v>0.3522125707</v>
      </c>
      <c r="AB22" t="n">
        <v>0.2757921778</v>
      </c>
      <c r="AC22" t="n">
        <v>0.1874682095</v>
      </c>
      <c r="AD22" t="n">
        <v>0.1227384192</v>
      </c>
      <c r="AE22" t="n">
        <v>0.06720554579</v>
      </c>
      <c r="AF22" t="n">
        <v>0.03960856706</v>
      </c>
      <c r="AG22" t="n">
        <v>0.3611755519</v>
      </c>
      <c r="AH22" t="n">
        <v>0.2991822015</v>
      </c>
      <c r="AI22" t="n">
        <v>0.1967756965</v>
      </c>
      <c r="AJ22" t="n">
        <v>0.09780275566</v>
      </c>
      <c r="AK22" t="n">
        <v>0.3408693423</v>
      </c>
      <c r="AL22" t="n">
        <v>0.2524151081</v>
      </c>
      <c r="AM22" t="n">
        <v>0.171078548</v>
      </c>
      <c r="AN22" t="n">
        <v>0.1049444528</v>
      </c>
      <c r="AO22" t="n">
        <v>0.05739123489</v>
      </c>
      <c r="AP22" t="n">
        <v>0.04254269376</v>
      </c>
    </row>
    <row r="23">
      <c r="B23" t="n">
        <v>470</v>
      </c>
      <c r="C23" t="n">
        <v>0.3355992483</v>
      </c>
      <c r="D23" t="n">
        <v>0.2371844991</v>
      </c>
      <c r="E23" t="n">
        <v>0.1453373733</v>
      </c>
      <c r="F23" t="n">
        <v>0.05029319945</v>
      </c>
      <c r="G23" t="n">
        <v>0.3567417946</v>
      </c>
      <c r="H23" t="n">
        <v>0.3051641306</v>
      </c>
      <c r="I23" t="n">
        <v>0.2242183901</v>
      </c>
      <c r="J23" t="n">
        <v>0.1531076409</v>
      </c>
      <c r="K23" t="n">
        <v>0.09150732052</v>
      </c>
      <c r="L23" t="n">
        <v>0.04945806206</v>
      </c>
      <c r="M23" t="n">
        <v>0.3562849342</v>
      </c>
      <c r="N23" t="n">
        <v>0.2639473374</v>
      </c>
      <c r="O23" t="n">
        <v>0.1665716725</v>
      </c>
      <c r="P23" t="n">
        <v>0.06163384401</v>
      </c>
      <c r="Q23" t="n">
        <v>0.3547646563</v>
      </c>
      <c r="R23" t="n">
        <v>0.2792270979</v>
      </c>
      <c r="S23" t="n">
        <v>0.2022815811</v>
      </c>
      <c r="T23" t="n">
        <v>0.13622648</v>
      </c>
      <c r="U23" t="n">
        <v>0.07724843362</v>
      </c>
      <c r="V23" t="n">
        <v>0.04371165971</v>
      </c>
      <c r="W23" t="n">
        <v>0.3597928016</v>
      </c>
      <c r="X23" t="n">
        <v>0.288351776</v>
      </c>
      <c r="Y23" t="n">
        <v>0.1976203642</v>
      </c>
      <c r="Z23" t="n">
        <v>0.08192715466</v>
      </c>
      <c r="AA23" t="n">
        <v>0.345344491</v>
      </c>
      <c r="AB23" t="n">
        <v>0.2662918638</v>
      </c>
      <c r="AC23" t="n">
        <v>0.1859682208</v>
      </c>
      <c r="AD23" t="n">
        <v>0.1225380659</v>
      </c>
      <c r="AE23" t="n">
        <v>0.067309301</v>
      </c>
      <c r="AF23" t="n">
        <v>0.04167643918</v>
      </c>
      <c r="AG23" t="n">
        <v>0.3607373521</v>
      </c>
      <c r="AH23" t="n">
        <v>0.311083133</v>
      </c>
      <c r="AI23" t="n">
        <v>0.2108725634</v>
      </c>
      <c r="AJ23" t="n">
        <v>0.1044316374</v>
      </c>
      <c r="AK23" t="n">
        <v>0.3316105459</v>
      </c>
      <c r="AL23" t="n">
        <v>0.2468239349</v>
      </c>
      <c r="AM23" t="n">
        <v>0.1705459398</v>
      </c>
      <c r="AN23" t="n">
        <v>0.1052777194</v>
      </c>
      <c r="AO23" t="n">
        <v>0.05746053906</v>
      </c>
      <c r="AP23" t="n">
        <v>0.04481185696</v>
      </c>
    </row>
    <row r="24">
      <c r="B24" t="n">
        <v>475</v>
      </c>
      <c r="C24" t="n">
        <v>0.3462400907</v>
      </c>
      <c r="D24" t="n">
        <v>0.2501284203</v>
      </c>
      <c r="E24" t="n">
        <v>0.1622935373</v>
      </c>
      <c r="F24" t="n">
        <v>0.05296162052</v>
      </c>
      <c r="G24" t="n">
        <v>0.3528844099</v>
      </c>
      <c r="H24" t="n">
        <v>0.2938809323</v>
      </c>
      <c r="I24" t="n">
        <v>0.2180023789</v>
      </c>
      <c r="J24" t="n">
        <v>0.1515159922</v>
      </c>
      <c r="K24" t="n">
        <v>0.09131989008999999</v>
      </c>
      <c r="L24" t="n">
        <v>0.0507951458</v>
      </c>
      <c r="M24" t="n">
        <v>0.3636367307</v>
      </c>
      <c r="N24" t="n">
        <v>0.2758943597</v>
      </c>
      <c r="O24" t="n">
        <v>0.184129825</v>
      </c>
      <c r="P24" t="n">
        <v>0.0663356568</v>
      </c>
      <c r="Q24" t="n">
        <v>0.349028043</v>
      </c>
      <c r="R24" t="n">
        <v>0.2678340303</v>
      </c>
      <c r="S24" t="n">
        <v>0.1987084999</v>
      </c>
      <c r="T24" t="n">
        <v>0.1349088271</v>
      </c>
      <c r="U24" t="n">
        <v>0.07733151337999999</v>
      </c>
      <c r="V24" t="n">
        <v>0.04651523889</v>
      </c>
      <c r="W24" t="n">
        <v>0.3621119577</v>
      </c>
      <c r="X24" t="n">
        <v>0.2985449664</v>
      </c>
      <c r="Y24" t="n">
        <v>0.2155416881</v>
      </c>
      <c r="Z24" t="n">
        <v>0.08851404</v>
      </c>
      <c r="AA24" t="n">
        <v>0.336499216</v>
      </c>
      <c r="AB24" t="n">
        <v>0.2564113692</v>
      </c>
      <c r="AC24" t="n">
        <v>0.1834209965</v>
      </c>
      <c r="AD24" t="n">
        <v>0.121866697</v>
      </c>
      <c r="AE24" t="n">
        <v>0.06757252392</v>
      </c>
      <c r="AF24" t="n">
        <v>0.04507141434</v>
      </c>
      <c r="AG24" t="n">
        <v>0.3592509608</v>
      </c>
      <c r="AH24" t="n">
        <v>0.3186807427</v>
      </c>
      <c r="AI24" t="n">
        <v>0.2253907171</v>
      </c>
      <c r="AJ24" t="n">
        <v>0.1127368599</v>
      </c>
      <c r="AK24" t="n">
        <v>0.3208389907</v>
      </c>
      <c r="AL24" t="n">
        <v>0.2393954358</v>
      </c>
      <c r="AM24" t="n">
        <v>0.1688911655</v>
      </c>
      <c r="AN24" t="n">
        <v>0.1049743424</v>
      </c>
      <c r="AO24" t="n">
        <v>0.05758176172</v>
      </c>
      <c r="AP24" t="n">
        <v>0.04855269931</v>
      </c>
    </row>
    <row r="25">
      <c r="B25" t="n">
        <v>480</v>
      </c>
      <c r="C25" t="n">
        <v>0.3549451205</v>
      </c>
      <c r="D25" t="n">
        <v>0.2679826653</v>
      </c>
      <c r="E25" t="n">
        <v>0.1805896079</v>
      </c>
      <c r="F25" t="n">
        <v>0.05703723124</v>
      </c>
      <c r="G25" t="n">
        <v>0.3479312958</v>
      </c>
      <c r="H25" t="n">
        <v>0.2819990056</v>
      </c>
      <c r="I25" t="n">
        <v>0.2110364069</v>
      </c>
      <c r="J25" t="n">
        <v>0.1489191376</v>
      </c>
      <c r="K25" t="n">
        <v>0.09118153443</v>
      </c>
      <c r="L25" t="n">
        <v>0.05310675553</v>
      </c>
      <c r="M25" t="n">
        <v>0.3667981082</v>
      </c>
      <c r="N25" t="n">
        <v>0.2873659748</v>
      </c>
      <c r="O25" t="n">
        <v>0.2030990206</v>
      </c>
      <c r="P25" t="n">
        <v>0.07274365888000001</v>
      </c>
      <c r="Q25" t="n">
        <v>0.3401741936</v>
      </c>
      <c r="R25" t="n">
        <v>0.2569714302</v>
      </c>
      <c r="S25" t="n">
        <v>0.1936089684</v>
      </c>
      <c r="T25" t="n">
        <v>0.1328391665</v>
      </c>
      <c r="U25" t="n">
        <v>0.07735087993</v>
      </c>
      <c r="V25" t="n">
        <v>0.05126197831</v>
      </c>
      <c r="W25" t="n">
        <v>0.3616311973</v>
      </c>
      <c r="X25" t="n">
        <v>0.3054046152</v>
      </c>
      <c r="Y25" t="n">
        <v>0.2338564533</v>
      </c>
      <c r="Z25" t="n">
        <v>0.09731088327</v>
      </c>
      <c r="AA25" t="n">
        <v>0.3256931508</v>
      </c>
      <c r="AB25" t="n">
        <v>0.2467145858</v>
      </c>
      <c r="AC25" t="n">
        <v>0.1791482528</v>
      </c>
      <c r="AD25" t="n">
        <v>0.120542987</v>
      </c>
      <c r="AE25" t="n">
        <v>0.06764664817</v>
      </c>
      <c r="AF25" t="n">
        <v>0.05055555139</v>
      </c>
      <c r="AG25" t="n">
        <v>0.3547096497</v>
      </c>
      <c r="AH25" t="n">
        <v>0.3259750958</v>
      </c>
      <c r="AI25" t="n">
        <v>0.2396354588</v>
      </c>
      <c r="AJ25" t="n">
        <v>0.1235716757</v>
      </c>
      <c r="AK25" t="n">
        <v>0.3075607484</v>
      </c>
      <c r="AL25" t="n">
        <v>0.2310941943</v>
      </c>
      <c r="AM25" t="n">
        <v>0.1659868344</v>
      </c>
      <c r="AN25" t="n">
        <v>0.1044326947</v>
      </c>
      <c r="AO25" t="n">
        <v>0.05790402663</v>
      </c>
      <c r="AP25" t="n">
        <v>0.05389430739</v>
      </c>
    </row>
    <row r="26">
      <c r="B26" t="n">
        <v>485</v>
      </c>
      <c r="C26" t="n">
        <v>0.3594908648</v>
      </c>
      <c r="D26" t="n">
        <v>0.2813986547</v>
      </c>
      <c r="E26" t="n">
        <v>0.2017936501</v>
      </c>
      <c r="F26" t="n">
        <v>0.06322361530999999</v>
      </c>
      <c r="G26" t="n">
        <v>0.3398026563</v>
      </c>
      <c r="H26" t="n">
        <v>0.2683745004</v>
      </c>
      <c r="I26" t="n">
        <v>0.2034584728</v>
      </c>
      <c r="J26" t="n">
        <v>0.1455593066</v>
      </c>
      <c r="K26" t="n">
        <v>0.09201578866</v>
      </c>
      <c r="L26" t="n">
        <v>0.05642666078</v>
      </c>
      <c r="M26" t="n">
        <v>0.3689310962</v>
      </c>
      <c r="N26" t="n">
        <v>0.2952665859</v>
      </c>
      <c r="O26" t="n">
        <v>0.2206404971</v>
      </c>
      <c r="P26" t="n">
        <v>0.08143849951</v>
      </c>
      <c r="Q26" t="n">
        <v>0.3291727047</v>
      </c>
      <c r="R26" t="n">
        <v>0.245875792</v>
      </c>
      <c r="S26" t="n">
        <v>0.1880023452</v>
      </c>
      <c r="T26" t="n">
        <v>0.130555951</v>
      </c>
      <c r="U26" t="n">
        <v>0.07793419210999999</v>
      </c>
      <c r="V26" t="n">
        <v>0.0584508946</v>
      </c>
      <c r="W26" t="n">
        <v>0.3589378423</v>
      </c>
      <c r="X26" t="n">
        <v>0.3119623115</v>
      </c>
      <c r="Y26" t="n">
        <v>0.2500968581</v>
      </c>
      <c r="Z26" t="n">
        <v>0.1084597615</v>
      </c>
      <c r="AA26" t="n">
        <v>0.3115594414</v>
      </c>
      <c r="AB26" t="n">
        <v>0.2369485944</v>
      </c>
      <c r="AC26" t="n">
        <v>0.1734310589</v>
      </c>
      <c r="AD26" t="n">
        <v>0.1190817122</v>
      </c>
      <c r="AE26" t="n">
        <v>0.06828321919999999</v>
      </c>
      <c r="AF26" t="n">
        <v>0.05929292698</v>
      </c>
      <c r="AG26" t="n">
        <v>0.3492462255</v>
      </c>
      <c r="AH26" t="n">
        <v>0.3295271328</v>
      </c>
      <c r="AI26" t="n">
        <v>0.2541690252</v>
      </c>
      <c r="AJ26" t="n">
        <v>0.1365810447</v>
      </c>
      <c r="AK26" t="n">
        <v>0.2912179497</v>
      </c>
      <c r="AL26" t="n">
        <v>0.2216672653</v>
      </c>
      <c r="AM26" t="n">
        <v>0.1616180745</v>
      </c>
      <c r="AN26" t="n">
        <v>0.1045443634</v>
      </c>
      <c r="AO26" t="n">
        <v>0.05828402124</v>
      </c>
      <c r="AP26" t="n">
        <v>0.0616278577</v>
      </c>
    </row>
    <row r="27">
      <c r="B27" t="n">
        <v>490</v>
      </c>
      <c r="C27" t="n">
        <v>0.3593636394</v>
      </c>
      <c r="D27" t="n">
        <v>0.2887021118</v>
      </c>
      <c r="E27" t="n">
        <v>0.2213186206</v>
      </c>
      <c r="F27" t="n">
        <v>0.07283941793</v>
      </c>
      <c r="G27" t="n">
        <v>0.3308333853</v>
      </c>
      <c r="H27" t="n">
        <v>0.255111605</v>
      </c>
      <c r="I27" t="n">
        <v>0.1968541009</v>
      </c>
      <c r="J27" t="n">
        <v>0.1419000326</v>
      </c>
      <c r="K27" t="n">
        <v>0.09286765345</v>
      </c>
      <c r="L27" t="n">
        <v>0.06170890229</v>
      </c>
      <c r="M27" t="n">
        <v>0.3671782577</v>
      </c>
      <c r="N27" t="n">
        <v>0.3000508141</v>
      </c>
      <c r="O27" t="n">
        <v>0.2386898298</v>
      </c>
      <c r="P27" t="n">
        <v>0.09394081223</v>
      </c>
      <c r="Q27" t="n">
        <v>0.3154923953</v>
      </c>
      <c r="R27" t="n">
        <v>0.2341460724</v>
      </c>
      <c r="S27" t="n">
        <v>0.1829080195</v>
      </c>
      <c r="T27" t="n">
        <v>0.1280292974</v>
      </c>
      <c r="U27" t="n">
        <v>0.07861273555999999</v>
      </c>
      <c r="V27" t="n">
        <v>0.06977464621</v>
      </c>
      <c r="W27" t="n">
        <v>0.3546848611</v>
      </c>
      <c r="X27" t="n">
        <v>0.3155841826</v>
      </c>
      <c r="Y27" t="n">
        <v>0.2652950054</v>
      </c>
      <c r="Z27" t="n">
        <v>0.1235734299</v>
      </c>
      <c r="AA27" t="n">
        <v>0.2958406663</v>
      </c>
      <c r="AB27" t="n">
        <v>0.2277703563</v>
      </c>
      <c r="AC27" t="n">
        <v>0.1680889164</v>
      </c>
      <c r="AD27" t="n">
        <v>0.1176579832</v>
      </c>
      <c r="AE27" t="n">
        <v>0.06901980644</v>
      </c>
      <c r="AF27" t="n">
        <v>0.07205919233999999</v>
      </c>
      <c r="AG27" t="n">
        <v>0.3432525115</v>
      </c>
      <c r="AH27" t="n">
        <v>0.331985617</v>
      </c>
      <c r="AI27" t="n">
        <v>0.2676361126</v>
      </c>
      <c r="AJ27" t="n">
        <v>0.1532183377</v>
      </c>
      <c r="AK27" t="n">
        <v>0.2743797647</v>
      </c>
      <c r="AL27" t="n">
        <v>0.2126230711</v>
      </c>
      <c r="AM27" t="n">
        <v>0.157247756</v>
      </c>
      <c r="AN27" t="n">
        <v>0.104726179</v>
      </c>
      <c r="AO27" t="n">
        <v>0.05917597672</v>
      </c>
      <c r="AP27" t="n">
        <v>0.07254909669</v>
      </c>
    </row>
    <row r="28">
      <c r="B28" t="n">
        <v>495</v>
      </c>
      <c r="C28" t="n">
        <v>0.3574507812</v>
      </c>
      <c r="D28" t="n">
        <v>0.2971102838</v>
      </c>
      <c r="E28" t="n">
        <v>0.2390419443</v>
      </c>
      <c r="F28" t="n">
        <v>0.08615452449</v>
      </c>
      <c r="G28" t="n">
        <v>0.3226644032</v>
      </c>
      <c r="H28" t="n">
        <v>0.2412586183</v>
      </c>
      <c r="I28" t="n">
        <v>0.1911211644</v>
      </c>
      <c r="J28" t="n">
        <v>0.1391585223</v>
      </c>
      <c r="K28" t="n">
        <v>0.09421968249</v>
      </c>
      <c r="L28" t="n">
        <v>0.06858389495</v>
      </c>
      <c r="M28" t="n">
        <v>0.3623911599</v>
      </c>
      <c r="N28" t="n">
        <v>0.3042873668</v>
      </c>
      <c r="O28" t="n">
        <v>0.2537954977</v>
      </c>
      <c r="P28" t="n">
        <v>0.1098025963</v>
      </c>
      <c r="Q28" t="n">
        <v>0.3021862304</v>
      </c>
      <c r="R28" t="n">
        <v>0.2230047437</v>
      </c>
      <c r="S28" t="n">
        <v>0.1784692859</v>
      </c>
      <c r="T28" t="n">
        <v>0.1261634113</v>
      </c>
      <c r="U28" t="n">
        <v>0.07940808148</v>
      </c>
      <c r="V28" t="n">
        <v>0.08493103069999999</v>
      </c>
      <c r="W28" t="n">
        <v>0.3488704605</v>
      </c>
      <c r="X28" t="n">
        <v>0.3166404659</v>
      </c>
      <c r="Y28" t="n">
        <v>0.2746565017</v>
      </c>
      <c r="Z28" t="n">
        <v>0.1417836167</v>
      </c>
      <c r="AA28" t="n">
        <v>0.2805262286</v>
      </c>
      <c r="AB28" t="n">
        <v>0.2183583988</v>
      </c>
      <c r="AC28" t="n">
        <v>0.1640331266</v>
      </c>
      <c r="AD28" t="n">
        <v>0.117025078</v>
      </c>
      <c r="AE28" t="n">
        <v>0.06994712196</v>
      </c>
      <c r="AF28" t="n">
        <v>0.08919677836999999</v>
      </c>
      <c r="AG28" t="n">
        <v>0.335720095</v>
      </c>
      <c r="AH28" t="n">
        <v>0.3315006677</v>
      </c>
      <c r="AI28" t="n">
        <v>0.2774287407</v>
      </c>
      <c r="AJ28" t="n">
        <v>0.1723630845</v>
      </c>
      <c r="AK28" t="n">
        <v>0.2587478196</v>
      </c>
      <c r="AL28" t="n">
        <v>0.2052916068</v>
      </c>
      <c r="AM28" t="n">
        <v>0.1541898415</v>
      </c>
      <c r="AN28" t="n">
        <v>0.1057491461</v>
      </c>
      <c r="AO28" t="n">
        <v>0.06040373237</v>
      </c>
      <c r="AP28" t="n">
        <v>0.08533887051</v>
      </c>
    </row>
    <row r="29">
      <c r="B29" t="n">
        <v>500</v>
      </c>
      <c r="C29" t="n">
        <v>0.3521804689</v>
      </c>
      <c r="D29" t="n">
        <v>0.2981239138</v>
      </c>
      <c r="E29" t="n">
        <v>0.2525915542</v>
      </c>
      <c r="F29" t="n">
        <v>0.1038921453</v>
      </c>
      <c r="G29" t="n">
        <v>0.3122754587</v>
      </c>
      <c r="H29" t="n">
        <v>0.2292277738</v>
      </c>
      <c r="I29" t="n">
        <v>0.1862256719</v>
      </c>
      <c r="J29" t="n">
        <v>0.1374113311</v>
      </c>
      <c r="K29" t="n">
        <v>0.09575183256</v>
      </c>
      <c r="L29" t="n">
        <v>0.0783184353</v>
      </c>
      <c r="M29" t="n">
        <v>0.3544806407</v>
      </c>
      <c r="N29" t="n">
        <v>0.304110839</v>
      </c>
      <c r="O29" t="n">
        <v>0.2656325743</v>
      </c>
      <c r="P29" t="n">
        <v>0.1298412307</v>
      </c>
      <c r="Q29" t="n">
        <v>0.2896569137</v>
      </c>
      <c r="R29" t="n">
        <v>0.2128810389</v>
      </c>
      <c r="S29" t="n">
        <v>0.1748538708</v>
      </c>
      <c r="T29" t="n">
        <v>0.1247542807</v>
      </c>
      <c r="U29" t="n">
        <v>0.08127388117999999</v>
      </c>
      <c r="V29" t="n">
        <v>0.1037037979</v>
      </c>
      <c r="W29" t="n">
        <v>0.3410376731</v>
      </c>
      <c r="X29" t="n">
        <v>0.3161100959</v>
      </c>
      <c r="Y29" t="n">
        <v>0.2799679087</v>
      </c>
      <c r="Z29" t="n">
        <v>0.1635272103</v>
      </c>
      <c r="AA29" t="n">
        <v>0.2674637924</v>
      </c>
      <c r="AB29" t="n">
        <v>0.2099050982</v>
      </c>
      <c r="AC29" t="n">
        <v>0.1612904384</v>
      </c>
      <c r="AD29" t="n">
        <v>0.1163484912</v>
      </c>
      <c r="AE29" t="n">
        <v>0.07176727888999999</v>
      </c>
      <c r="AF29" t="n">
        <v>0.1104582972</v>
      </c>
      <c r="AG29" t="n">
        <v>0.3266280511</v>
      </c>
      <c r="AH29" t="n">
        <v>0.3288391686</v>
      </c>
      <c r="AI29" t="n">
        <v>0.2836542331</v>
      </c>
      <c r="AJ29" t="n">
        <v>0.1940527925</v>
      </c>
      <c r="AK29" t="n">
        <v>0.2452984505</v>
      </c>
      <c r="AL29" t="n">
        <v>0.1996730632</v>
      </c>
      <c r="AM29" t="n">
        <v>0.1522889544</v>
      </c>
      <c r="AN29" t="n">
        <v>0.1062985089</v>
      </c>
      <c r="AO29" t="n">
        <v>0.06367658815</v>
      </c>
      <c r="AP29" t="n">
        <v>0.1002476779</v>
      </c>
    </row>
    <row r="30">
      <c r="B30" t="n">
        <v>505</v>
      </c>
      <c r="C30" t="n">
        <v>0.3441337789</v>
      </c>
      <c r="D30" t="n">
        <v>0.2963154562</v>
      </c>
      <c r="E30" t="n">
        <v>0.2614874095</v>
      </c>
      <c r="F30" t="n">
        <v>0.1252121008</v>
      </c>
      <c r="G30" t="n">
        <v>0.301774271</v>
      </c>
      <c r="H30" t="n">
        <v>0.2196215759</v>
      </c>
      <c r="I30" t="n">
        <v>0.1818269625</v>
      </c>
      <c r="J30" t="n">
        <v>0.135803063</v>
      </c>
      <c r="K30" t="n">
        <v>0.0992599324</v>
      </c>
      <c r="L30" t="n">
        <v>0.0912740662</v>
      </c>
      <c r="M30" t="n">
        <v>0.3444624114</v>
      </c>
      <c r="N30" t="n">
        <v>0.3009995516</v>
      </c>
      <c r="O30" t="n">
        <v>0.2739776163</v>
      </c>
      <c r="P30" t="n">
        <v>0.1524277983</v>
      </c>
      <c r="Q30" t="n">
        <v>0.2782984689</v>
      </c>
      <c r="R30" t="n">
        <v>0.2050279077</v>
      </c>
      <c r="S30" t="n">
        <v>0.1712251736</v>
      </c>
      <c r="T30" t="n">
        <v>0.1235865593</v>
      </c>
      <c r="U30" t="n">
        <v>0.08527625299</v>
      </c>
      <c r="V30" t="n">
        <v>0.1231406283</v>
      </c>
      <c r="W30" t="n">
        <v>0.3307115229</v>
      </c>
      <c r="X30" t="n">
        <v>0.3125211104</v>
      </c>
      <c r="Y30" t="n">
        <v>0.2819487025</v>
      </c>
      <c r="Z30" t="n">
        <v>0.1863973234</v>
      </c>
      <c r="AA30" t="n">
        <v>0.2550488079</v>
      </c>
      <c r="AB30" t="n">
        <v>0.2008423861</v>
      </c>
      <c r="AC30" t="n">
        <v>0.1593865421</v>
      </c>
      <c r="AD30" t="n">
        <v>0.1159205209</v>
      </c>
      <c r="AE30" t="n">
        <v>0.07578099537000001</v>
      </c>
      <c r="AF30" t="n">
        <v>0.1329748349</v>
      </c>
      <c r="AG30" t="n">
        <v>0.3161932811</v>
      </c>
      <c r="AH30" t="n">
        <v>0.3235877766</v>
      </c>
      <c r="AI30" t="n">
        <v>0.286211855</v>
      </c>
      <c r="AJ30" t="n">
        <v>0.2154397634</v>
      </c>
      <c r="AK30" t="n">
        <v>0.2340204555</v>
      </c>
      <c r="AL30" t="n">
        <v>0.1938307018</v>
      </c>
      <c r="AM30" t="n">
        <v>0.1506143448</v>
      </c>
      <c r="AN30" t="n">
        <v>0.1079461959</v>
      </c>
      <c r="AO30" t="n">
        <v>0.07064106125</v>
      </c>
      <c r="AP30" t="n">
        <v>0.1150457702</v>
      </c>
    </row>
    <row r="31">
      <c r="B31" t="n">
        <v>510</v>
      </c>
      <c r="C31" t="n">
        <v>0.3339021134</v>
      </c>
      <c r="D31" t="n">
        <v>0.2925460643</v>
      </c>
      <c r="E31" t="n">
        <v>0.2656092404</v>
      </c>
      <c r="F31" t="n">
        <v>0.1481823064</v>
      </c>
      <c r="G31" t="n">
        <v>0.2897703697</v>
      </c>
      <c r="H31" t="n">
        <v>0.2107893243</v>
      </c>
      <c r="I31" t="n">
        <v>0.1767793293</v>
      </c>
      <c r="J31" t="n">
        <v>0.134977383</v>
      </c>
      <c r="K31" t="n">
        <v>0.1056931298</v>
      </c>
      <c r="L31" t="n">
        <v>0.1090727029</v>
      </c>
      <c r="M31" t="n">
        <v>0.3313874683</v>
      </c>
      <c r="N31" t="n">
        <v>0.297340914</v>
      </c>
      <c r="O31" t="n">
        <v>0.2779294103</v>
      </c>
      <c r="P31" t="n">
        <v>0.1760304186</v>
      </c>
      <c r="Q31" t="n">
        <v>0.2667627355</v>
      </c>
      <c r="R31" t="n">
        <v>0.1988952938</v>
      </c>
      <c r="S31" t="n">
        <v>0.1669852429</v>
      </c>
      <c r="T31" t="n">
        <v>0.1230167192</v>
      </c>
      <c r="U31" t="n">
        <v>0.09324274684</v>
      </c>
      <c r="V31" t="n">
        <v>0.1421545171</v>
      </c>
      <c r="W31" t="n">
        <v>0.3186266248</v>
      </c>
      <c r="X31" t="n">
        <v>0.307655233</v>
      </c>
      <c r="Y31" t="n">
        <v>0.2818080546</v>
      </c>
      <c r="Z31" t="n">
        <v>0.2088217582</v>
      </c>
      <c r="AA31" t="n">
        <v>0.242947828</v>
      </c>
      <c r="AB31" t="n">
        <v>0.1936874809</v>
      </c>
      <c r="AC31" t="n">
        <v>0.1568160965</v>
      </c>
      <c r="AD31" t="n">
        <v>0.1155184013</v>
      </c>
      <c r="AE31" t="n">
        <v>0.08442179474</v>
      </c>
      <c r="AF31" t="n">
        <v>0.1545825316</v>
      </c>
      <c r="AG31" t="n">
        <v>0.3040702092</v>
      </c>
      <c r="AH31" t="n">
        <v>0.3167560467</v>
      </c>
      <c r="AI31" t="n">
        <v>0.287072008</v>
      </c>
      <c r="AJ31" t="n">
        <v>0.2351530413</v>
      </c>
      <c r="AK31" t="n">
        <v>0.2230551617</v>
      </c>
      <c r="AL31" t="n">
        <v>0.1877030264</v>
      </c>
      <c r="AM31" t="n">
        <v>0.1490061875</v>
      </c>
      <c r="AN31" t="n">
        <v>0.110693339</v>
      </c>
      <c r="AO31" t="n">
        <v>0.08419215383</v>
      </c>
      <c r="AP31" t="n">
        <v>0.130947548</v>
      </c>
    </row>
    <row r="32">
      <c r="B32" t="n">
        <v>515</v>
      </c>
      <c r="C32" t="n">
        <v>0.3203540454</v>
      </c>
      <c r="D32" t="n">
        <v>0.2881668313</v>
      </c>
      <c r="E32" t="n">
        <v>0.2678585509</v>
      </c>
      <c r="F32" t="n">
        <v>0.1703670769</v>
      </c>
      <c r="G32" t="n">
        <v>0.2774754014</v>
      </c>
      <c r="H32" t="n">
        <v>0.2028446254</v>
      </c>
      <c r="I32" t="n">
        <v>0.1697572489</v>
      </c>
      <c r="J32" t="n">
        <v>0.1337181955</v>
      </c>
      <c r="K32" t="n">
        <v>0.113748099</v>
      </c>
      <c r="L32" t="n">
        <v>0.129283235</v>
      </c>
      <c r="M32" t="n">
        <v>0.3165446933</v>
      </c>
      <c r="N32" t="n">
        <v>0.2930774061</v>
      </c>
      <c r="O32" t="n">
        <v>0.2787433627</v>
      </c>
      <c r="P32" t="n">
        <v>0.1985900991</v>
      </c>
      <c r="Q32" t="n">
        <v>0.2525046306</v>
      </c>
      <c r="R32" t="n">
        <v>0.1936863087</v>
      </c>
      <c r="S32" t="n">
        <v>0.1607955248</v>
      </c>
      <c r="T32" t="n">
        <v>0.1223116665</v>
      </c>
      <c r="U32" t="n">
        <v>0.1042748766</v>
      </c>
      <c r="V32" t="n">
        <v>0.1579373677</v>
      </c>
      <c r="W32" t="n">
        <v>0.3047593842</v>
      </c>
      <c r="X32" t="n">
        <v>0.3019816542</v>
      </c>
      <c r="Y32" t="n">
        <v>0.2793782145</v>
      </c>
      <c r="Z32" t="n">
        <v>0.2286415176</v>
      </c>
      <c r="AA32" t="n">
        <v>0.2304473644</v>
      </c>
      <c r="AB32" t="n">
        <v>0.1866019509</v>
      </c>
      <c r="AC32" t="n">
        <v>0.1528114498</v>
      </c>
      <c r="AD32" t="n">
        <v>0.114525135</v>
      </c>
      <c r="AE32" t="n">
        <v>0.09798332445000001</v>
      </c>
      <c r="AF32" t="n">
        <v>0.1728520859</v>
      </c>
      <c r="AG32" t="n">
        <v>0.2914462759</v>
      </c>
      <c r="AH32" t="n">
        <v>0.3101535878</v>
      </c>
      <c r="AI32" t="n">
        <v>0.285291882</v>
      </c>
      <c r="AJ32" t="n">
        <v>0.2512308844</v>
      </c>
      <c r="AK32" t="n">
        <v>0.2116983782</v>
      </c>
      <c r="AL32" t="n">
        <v>0.1789000592</v>
      </c>
      <c r="AM32" t="n">
        <v>0.1460483454</v>
      </c>
      <c r="AN32" t="n">
        <v>0.1136777144</v>
      </c>
      <c r="AO32" t="n">
        <v>0.1038679104</v>
      </c>
      <c r="AP32" t="n">
        <v>0.1485249991</v>
      </c>
    </row>
    <row r="33">
      <c r="B33" t="n">
        <v>520</v>
      </c>
      <c r="C33" t="n">
        <v>0.3058244352</v>
      </c>
      <c r="D33" t="n">
        <v>0.2835198577</v>
      </c>
      <c r="E33" t="n">
        <v>0.2669569366</v>
      </c>
      <c r="F33" t="n">
        <v>0.189439753</v>
      </c>
      <c r="G33" t="n">
        <v>0.2628674093</v>
      </c>
      <c r="H33" t="n">
        <v>0.1942202398</v>
      </c>
      <c r="I33" t="n">
        <v>0.1614683448</v>
      </c>
      <c r="J33" t="n">
        <v>0.1318107767</v>
      </c>
      <c r="K33" t="n">
        <v>0.1201920328</v>
      </c>
      <c r="L33" t="n">
        <v>0.146237557</v>
      </c>
      <c r="M33" t="n">
        <v>0.3005052455</v>
      </c>
      <c r="N33" t="n">
        <v>0.2875907909</v>
      </c>
      <c r="O33" t="n">
        <v>0.2774495151</v>
      </c>
      <c r="P33" t="n">
        <v>0.216597599</v>
      </c>
      <c r="Q33" t="n">
        <v>0.239763639</v>
      </c>
      <c r="R33" t="n">
        <v>0.1878655292</v>
      </c>
      <c r="S33" t="n">
        <v>0.1531761074</v>
      </c>
      <c r="T33" t="n">
        <v>0.1211069581</v>
      </c>
      <c r="U33" t="n">
        <v>0.1153205108</v>
      </c>
      <c r="V33" t="n">
        <v>0.1693271217</v>
      </c>
      <c r="W33" t="n">
        <v>0.289836921</v>
      </c>
      <c r="X33" t="n">
        <v>0.2950450779</v>
      </c>
      <c r="Y33" t="n">
        <v>0.2758351481</v>
      </c>
      <c r="Z33" t="n">
        <v>0.2428840391</v>
      </c>
      <c r="AA33" t="n">
        <v>0.2177769654</v>
      </c>
      <c r="AB33" t="n">
        <v>0.1800580089</v>
      </c>
      <c r="AC33" t="n">
        <v>0.1474527863</v>
      </c>
      <c r="AD33" t="n">
        <v>0.1132046164</v>
      </c>
      <c r="AE33" t="n">
        <v>0.1130232751</v>
      </c>
      <c r="AF33" t="n">
        <v>0.1863422717</v>
      </c>
      <c r="AG33" t="n">
        <v>0.2775854395</v>
      </c>
      <c r="AH33" t="n">
        <v>0.3007872814</v>
      </c>
      <c r="AI33" t="n">
        <v>0.2818584673</v>
      </c>
      <c r="AJ33" t="n">
        <v>0.2613361739</v>
      </c>
      <c r="AK33" t="n">
        <v>0.2002134634</v>
      </c>
      <c r="AL33" t="n">
        <v>0.1679759901</v>
      </c>
      <c r="AM33" t="n">
        <v>0.1425421951</v>
      </c>
      <c r="AN33" t="n">
        <v>0.1153949881</v>
      </c>
      <c r="AO33" t="n">
        <v>0.122886987</v>
      </c>
      <c r="AP33" t="n">
        <v>0.1688593971</v>
      </c>
    </row>
    <row r="34">
      <c r="B34" t="n">
        <v>525</v>
      </c>
      <c r="C34" t="n">
        <v>0.2903743733</v>
      </c>
      <c r="D34" t="n">
        <v>0.2771339652</v>
      </c>
      <c r="E34" t="n">
        <v>0.2637365488</v>
      </c>
      <c r="F34" t="n">
        <v>0.205288541</v>
      </c>
      <c r="G34" t="n">
        <v>0.2491042584</v>
      </c>
      <c r="H34" t="n">
        <v>0.1853803265</v>
      </c>
      <c r="I34" t="n">
        <v>0.1534723994</v>
      </c>
      <c r="J34" t="n">
        <v>0.129949245</v>
      </c>
      <c r="K34" t="n">
        <v>0.1244814437</v>
      </c>
      <c r="L34" t="n">
        <v>0.1572125112</v>
      </c>
      <c r="M34" t="n">
        <v>0.2829478617</v>
      </c>
      <c r="N34" t="n">
        <v>0.2805633236</v>
      </c>
      <c r="O34" t="n">
        <v>0.2728617262</v>
      </c>
      <c r="P34" t="n">
        <v>0.2293831624</v>
      </c>
      <c r="Q34" t="n">
        <v>0.2286280596</v>
      </c>
      <c r="R34" t="n">
        <v>0.1812070731</v>
      </c>
      <c r="S34" t="n">
        <v>0.1450228556</v>
      </c>
      <c r="T34" t="n">
        <v>0.1199933398</v>
      </c>
      <c r="U34" t="n">
        <v>0.1235346331</v>
      </c>
      <c r="V34" t="n">
        <v>0.1768363085</v>
      </c>
      <c r="W34" t="n">
        <v>0.2735691206</v>
      </c>
      <c r="X34" t="n">
        <v>0.2868289756</v>
      </c>
      <c r="Y34" t="n">
        <v>0.2709359678</v>
      </c>
      <c r="Z34" t="n">
        <v>0.2514037835</v>
      </c>
      <c r="AA34" t="n">
        <v>0.2069908096</v>
      </c>
      <c r="AB34" t="n">
        <v>0.1732607689</v>
      </c>
      <c r="AC34" t="n">
        <v>0.1427828562</v>
      </c>
      <c r="AD34" t="n">
        <v>0.1124750743</v>
      </c>
      <c r="AE34" t="n">
        <v>0.1248560858</v>
      </c>
      <c r="AF34" t="n">
        <v>0.1945165877</v>
      </c>
      <c r="AG34" t="n">
        <v>0.2625279475</v>
      </c>
      <c r="AH34" t="n">
        <v>0.2900815532</v>
      </c>
      <c r="AI34" t="n">
        <v>0.2772878955</v>
      </c>
      <c r="AJ34" t="n">
        <v>0.2657491855</v>
      </c>
      <c r="AK34" t="n">
        <v>0.1910902946</v>
      </c>
      <c r="AL34" t="n">
        <v>0.1578886406</v>
      </c>
      <c r="AM34" t="n">
        <v>0.1396903914</v>
      </c>
      <c r="AN34" t="n">
        <v>0.1166322468</v>
      </c>
      <c r="AO34" t="n">
        <v>0.135763973</v>
      </c>
      <c r="AP34" t="n">
        <v>0.1904468547</v>
      </c>
    </row>
    <row r="35">
      <c r="B35" t="n">
        <v>530</v>
      </c>
      <c r="C35" t="n">
        <v>0.2729644183</v>
      </c>
      <c r="D35" t="n">
        <v>0.2702146905</v>
      </c>
      <c r="E35" t="n">
        <v>0.2607744849</v>
      </c>
      <c r="F35" t="n">
        <v>0.217253644</v>
      </c>
      <c r="G35" t="n">
        <v>0.2363250407</v>
      </c>
      <c r="H35" t="n">
        <v>0.1788499757</v>
      </c>
      <c r="I35" t="n">
        <v>0.1474810958</v>
      </c>
      <c r="J35" t="n">
        <v>0.1285307668</v>
      </c>
      <c r="K35" t="n">
        <v>0.1273721692</v>
      </c>
      <c r="L35" t="n">
        <v>0.1627905675</v>
      </c>
      <c r="M35" t="n">
        <v>0.2653778263</v>
      </c>
      <c r="N35" t="n">
        <v>0.2728373276</v>
      </c>
      <c r="O35" t="n">
        <v>0.2673292566</v>
      </c>
      <c r="P35" t="n">
        <v>0.2369714033</v>
      </c>
      <c r="Q35" t="n">
        <v>0.219282665</v>
      </c>
      <c r="R35" t="n">
        <v>0.1755026287</v>
      </c>
      <c r="S35" t="n">
        <v>0.1388357069</v>
      </c>
      <c r="T35" t="n">
        <v>0.1192695962</v>
      </c>
      <c r="U35" t="n">
        <v>0.1287592247</v>
      </c>
      <c r="V35" t="n">
        <v>0.1811101412</v>
      </c>
      <c r="W35" t="n">
        <v>0.2578823322</v>
      </c>
      <c r="X35" t="n">
        <v>0.277110956</v>
      </c>
      <c r="Y35" t="n">
        <v>0.2656124684</v>
      </c>
      <c r="Z35" t="n">
        <v>0.2550497306</v>
      </c>
      <c r="AA35" t="n">
        <v>0.1989744765</v>
      </c>
      <c r="AB35" t="n">
        <v>0.1676443437</v>
      </c>
      <c r="AC35" t="n">
        <v>0.1397108771</v>
      </c>
      <c r="AD35" t="n">
        <v>0.1127279119</v>
      </c>
      <c r="AE35" t="n">
        <v>0.1317026461</v>
      </c>
      <c r="AF35" t="n">
        <v>0.199952022</v>
      </c>
      <c r="AG35" t="n">
        <v>0.2484728752</v>
      </c>
      <c r="AH35" t="n">
        <v>0.2781372733</v>
      </c>
      <c r="AI35" t="n">
        <v>0.271333667</v>
      </c>
      <c r="AJ35" t="n">
        <v>0.2659523189</v>
      </c>
      <c r="AK35" t="n">
        <v>0.1843221879</v>
      </c>
      <c r="AL35" t="n">
        <v>0.1501203693</v>
      </c>
      <c r="AM35" t="n">
        <v>0.1381438786</v>
      </c>
      <c r="AN35" t="n">
        <v>0.1180144704</v>
      </c>
      <c r="AO35" t="n">
        <v>0.142129183</v>
      </c>
      <c r="AP35" t="n">
        <v>0.2088408988</v>
      </c>
    </row>
    <row r="36">
      <c r="B36" t="n">
        <v>535</v>
      </c>
      <c r="C36" t="n">
        <v>0.2558480332</v>
      </c>
      <c r="D36" t="n">
        <v>0.2617277881</v>
      </c>
      <c r="E36" t="n">
        <v>0.2551406663</v>
      </c>
      <c r="F36" t="n">
        <v>0.2268846544</v>
      </c>
      <c r="G36" t="n">
        <v>0.2241684391</v>
      </c>
      <c r="H36" t="n">
        <v>0.1748193434</v>
      </c>
      <c r="I36" t="n">
        <v>0.1444826079</v>
      </c>
      <c r="J36" t="n">
        <v>0.1276149772</v>
      </c>
      <c r="K36" t="n">
        <v>0.1292707163</v>
      </c>
      <c r="L36" t="n">
        <v>0.1660873804</v>
      </c>
      <c r="M36" t="n">
        <v>0.2470981312</v>
      </c>
      <c r="N36" t="n">
        <v>0.2630644912</v>
      </c>
      <c r="O36" t="n">
        <v>0.2617565996</v>
      </c>
      <c r="P36" t="n">
        <v>0.2403842777</v>
      </c>
      <c r="Q36" t="n">
        <v>0.2103775466</v>
      </c>
      <c r="R36" t="n">
        <v>0.1712394872</v>
      </c>
      <c r="S36" t="n">
        <v>0.1357075982</v>
      </c>
      <c r="T36" t="n">
        <v>0.118913073</v>
      </c>
      <c r="U36" t="n">
        <v>0.1325006619</v>
      </c>
      <c r="V36" t="n">
        <v>0.1839574616</v>
      </c>
      <c r="W36" t="n">
        <v>0.2411618972</v>
      </c>
      <c r="X36" t="n">
        <v>0.2651322107</v>
      </c>
      <c r="Y36" t="n">
        <v>0.2595466891</v>
      </c>
      <c r="Z36" t="n">
        <v>0.2546822306</v>
      </c>
      <c r="AA36" t="n">
        <v>0.1934975155</v>
      </c>
      <c r="AB36" t="n">
        <v>0.1633486478</v>
      </c>
      <c r="AC36" t="n">
        <v>0.1384444978</v>
      </c>
      <c r="AD36" t="n">
        <v>0.1138094195</v>
      </c>
      <c r="AE36" t="n">
        <v>0.1358467726</v>
      </c>
      <c r="AF36" t="n">
        <v>0.2033306916</v>
      </c>
      <c r="AG36" t="n">
        <v>0.2330568858</v>
      </c>
      <c r="AH36" t="n">
        <v>0.2638942273</v>
      </c>
      <c r="AI36" t="n">
        <v>0.2633574943</v>
      </c>
      <c r="AJ36" t="n">
        <v>0.2624954139</v>
      </c>
      <c r="AK36" t="n">
        <v>0.180816576</v>
      </c>
      <c r="AL36" t="n">
        <v>0.145956884</v>
      </c>
      <c r="AM36" t="n">
        <v>0.1378012583</v>
      </c>
      <c r="AN36" t="n">
        <v>0.1193469151</v>
      </c>
      <c r="AO36" t="n">
        <v>0.1456641691</v>
      </c>
      <c r="AP36" t="n">
        <v>0.2208524266</v>
      </c>
    </row>
    <row r="37">
      <c r="B37" t="n">
        <v>540</v>
      </c>
      <c r="C37" t="n">
        <v>0.2374567591</v>
      </c>
      <c r="D37" t="n">
        <v>0.2520581122</v>
      </c>
      <c r="E37" t="n">
        <v>0.2495550483</v>
      </c>
      <c r="F37" t="n">
        <v>0.2336508156</v>
      </c>
      <c r="G37" t="n">
        <v>0.2123871014</v>
      </c>
      <c r="H37" t="n">
        <v>0.1728259877</v>
      </c>
      <c r="I37" t="n">
        <v>0.1441890173</v>
      </c>
      <c r="J37" t="n">
        <v>0.1278753167</v>
      </c>
      <c r="K37" t="n">
        <v>0.1324791902</v>
      </c>
      <c r="L37" t="n">
        <v>0.1703381077</v>
      </c>
      <c r="M37" t="n">
        <v>0.2300260982</v>
      </c>
      <c r="N37" t="n">
        <v>0.2529439474</v>
      </c>
      <c r="O37" t="n">
        <v>0.2536214641</v>
      </c>
      <c r="P37" t="n">
        <v>0.2415188379</v>
      </c>
      <c r="Q37" t="n">
        <v>0.2033710107</v>
      </c>
      <c r="R37" t="n">
        <v>0.1694151813</v>
      </c>
      <c r="S37" t="n">
        <v>0.1359933238</v>
      </c>
      <c r="T37" t="n">
        <v>0.1199100496</v>
      </c>
      <c r="U37" t="n">
        <v>0.1367886496</v>
      </c>
      <c r="V37" t="n">
        <v>0.186629684</v>
      </c>
      <c r="W37" t="n">
        <v>0.2259783884</v>
      </c>
      <c r="X37" t="n">
        <v>0.2501783523</v>
      </c>
      <c r="Y37" t="n">
        <v>0.2515895967</v>
      </c>
      <c r="Z37" t="n">
        <v>0.2520012938</v>
      </c>
      <c r="AA37" t="n">
        <v>0.1898425085</v>
      </c>
      <c r="AB37" t="n">
        <v>0.160810521</v>
      </c>
      <c r="AC37" t="n">
        <v>0.1391548033</v>
      </c>
      <c r="AD37" t="n">
        <v>0.116570109</v>
      </c>
      <c r="AE37" t="n">
        <v>0.1406197719</v>
      </c>
      <c r="AF37" t="n">
        <v>0.2056272328</v>
      </c>
      <c r="AG37" t="n">
        <v>0.2192997609</v>
      </c>
      <c r="AH37" t="n">
        <v>0.2506130906</v>
      </c>
      <c r="AI37" t="n">
        <v>0.2555080071</v>
      </c>
      <c r="AJ37" t="n">
        <v>0.2568878796</v>
      </c>
      <c r="AK37" t="n">
        <v>0.1788370854</v>
      </c>
      <c r="AL37" t="n">
        <v>0.1456274326</v>
      </c>
      <c r="AM37" t="n">
        <v>0.1386929347</v>
      </c>
      <c r="AN37" t="n">
        <v>0.1225620127</v>
      </c>
      <c r="AO37" t="n">
        <v>0.1510412969</v>
      </c>
      <c r="AP37" t="n">
        <v>0.2277689211</v>
      </c>
    </row>
    <row r="38">
      <c r="B38" t="n">
        <v>545</v>
      </c>
      <c r="C38" t="n">
        <v>0.2206066048</v>
      </c>
      <c r="D38" t="n">
        <v>0.2407993449</v>
      </c>
      <c r="E38" t="n">
        <v>0.2424520938</v>
      </c>
      <c r="F38" t="n">
        <v>0.2386381244</v>
      </c>
      <c r="G38" t="n">
        <v>0.2011438359</v>
      </c>
      <c r="H38" t="n">
        <v>0.1730456338</v>
      </c>
      <c r="I38" t="n">
        <v>0.1466316121</v>
      </c>
      <c r="J38" t="n">
        <v>0.1296004029</v>
      </c>
      <c r="K38" t="n">
        <v>0.1361740616</v>
      </c>
      <c r="L38" t="n">
        <v>0.1776629836</v>
      </c>
      <c r="M38" t="n">
        <v>0.2127359434</v>
      </c>
      <c r="N38" t="n">
        <v>0.2414455581</v>
      </c>
      <c r="O38" t="n">
        <v>0.2442185817</v>
      </c>
      <c r="P38" t="n">
        <v>0.2413654845</v>
      </c>
      <c r="Q38" t="n">
        <v>0.1965545402</v>
      </c>
      <c r="R38" t="n">
        <v>0.1696223932</v>
      </c>
      <c r="S38" t="n">
        <v>0.1388567212</v>
      </c>
      <c r="T38" t="n">
        <v>0.1222404797</v>
      </c>
      <c r="U38" t="n">
        <v>0.1430686976</v>
      </c>
      <c r="V38" t="n">
        <v>0.1900718909</v>
      </c>
      <c r="W38" t="n">
        <v>0.2097602224</v>
      </c>
      <c r="X38" t="n">
        <v>0.2365301882</v>
      </c>
      <c r="Y38" t="n">
        <v>0.2421464087</v>
      </c>
      <c r="Z38" t="n">
        <v>0.2476427795</v>
      </c>
      <c r="AA38" t="n">
        <v>0.1866548318</v>
      </c>
      <c r="AB38" t="n">
        <v>0.1595250452</v>
      </c>
      <c r="AC38" t="n">
        <v>0.1417416875</v>
      </c>
      <c r="AD38" t="n">
        <v>0.1212617217</v>
      </c>
      <c r="AE38" t="n">
        <v>0.149256505</v>
      </c>
      <c r="AF38" t="n">
        <v>0.207393831</v>
      </c>
      <c r="AG38" t="n">
        <v>0.2053189051</v>
      </c>
      <c r="AH38" t="n">
        <v>0.2348814286</v>
      </c>
      <c r="AI38" t="n">
        <v>0.244611829</v>
      </c>
      <c r="AJ38" t="n">
        <v>0.2494246633</v>
      </c>
      <c r="AK38" t="n">
        <v>0.1783971937</v>
      </c>
      <c r="AL38" t="n">
        <v>0.1482556264</v>
      </c>
      <c r="AM38" t="n">
        <v>0.1412836338</v>
      </c>
      <c r="AN38" t="n">
        <v>0.1268878607</v>
      </c>
      <c r="AO38" t="n">
        <v>0.1614945108</v>
      </c>
      <c r="AP38" t="n">
        <v>0.2315990689</v>
      </c>
    </row>
    <row r="39">
      <c r="B39" t="n">
        <v>550</v>
      </c>
      <c r="C39" t="n">
        <v>0.2026695096</v>
      </c>
      <c r="D39" t="n">
        <v>0.2285918213</v>
      </c>
      <c r="E39" t="n">
        <v>0.2336097196</v>
      </c>
      <c r="F39" t="n">
        <v>0.2402201813</v>
      </c>
      <c r="G39" t="n">
        <v>0.1897726107</v>
      </c>
      <c r="H39" t="n">
        <v>0.1740029101</v>
      </c>
      <c r="I39" t="n">
        <v>0.1492986721</v>
      </c>
      <c r="J39" t="n">
        <v>0.1330988288</v>
      </c>
      <c r="K39" t="n">
        <v>0.1426520605</v>
      </c>
      <c r="L39" t="n">
        <v>0.1912087392</v>
      </c>
      <c r="M39" t="n">
        <v>0.1957928362</v>
      </c>
      <c r="N39" t="n">
        <v>0.228568666</v>
      </c>
      <c r="O39" t="n">
        <v>0.2340710985</v>
      </c>
      <c r="P39" t="n">
        <v>0.2396507755</v>
      </c>
      <c r="Q39" t="n">
        <v>0.189123505</v>
      </c>
      <c r="R39" t="n">
        <v>0.1717031446</v>
      </c>
      <c r="S39" t="n">
        <v>0.1428191482</v>
      </c>
      <c r="T39" t="n">
        <v>0.1276503866</v>
      </c>
      <c r="U39" t="n">
        <v>0.1543439864</v>
      </c>
      <c r="V39" t="n">
        <v>0.196969569</v>
      </c>
      <c r="W39" t="n">
        <v>0.1945662483</v>
      </c>
      <c r="X39" t="n">
        <v>0.2224851516</v>
      </c>
      <c r="Y39" t="n">
        <v>0.2314621506</v>
      </c>
      <c r="Z39" t="n">
        <v>0.2418528475</v>
      </c>
      <c r="AA39" t="n">
        <v>0.1833501838</v>
      </c>
      <c r="AB39" t="n">
        <v>0.1595855777</v>
      </c>
      <c r="AC39" t="n">
        <v>0.1452914725</v>
      </c>
      <c r="AD39" t="n">
        <v>0.1305437828</v>
      </c>
      <c r="AE39" t="n">
        <v>0.1649814562</v>
      </c>
      <c r="AF39" t="n">
        <v>0.2095036603</v>
      </c>
      <c r="AG39" t="n">
        <v>0.1915980513</v>
      </c>
      <c r="AH39" t="n">
        <v>0.2173864147</v>
      </c>
      <c r="AI39" t="n">
        <v>0.2326281969</v>
      </c>
      <c r="AJ39" t="n">
        <v>0.2407264597</v>
      </c>
      <c r="AK39" t="n">
        <v>0.1774184292</v>
      </c>
      <c r="AL39" t="n">
        <v>0.1517106684</v>
      </c>
      <c r="AM39" t="n">
        <v>0.1447518043</v>
      </c>
      <c r="AN39" t="n">
        <v>0.1348485381</v>
      </c>
      <c r="AO39" t="n">
        <v>0.1809730373</v>
      </c>
      <c r="AP39" t="n">
        <v>0.2329386596</v>
      </c>
    </row>
    <row r="40">
      <c r="B40" t="n">
        <v>555</v>
      </c>
      <c r="C40" t="n">
        <v>0.1852187868</v>
      </c>
      <c r="D40" t="n">
        <v>0.215413616</v>
      </c>
      <c r="E40" t="n">
        <v>0.2241736255</v>
      </c>
      <c r="F40" t="n">
        <v>0.2412854231</v>
      </c>
      <c r="G40" t="n">
        <v>0.1775428133</v>
      </c>
      <c r="H40" t="n">
        <v>0.1742431786</v>
      </c>
      <c r="I40" t="n">
        <v>0.15070535</v>
      </c>
      <c r="J40" t="n">
        <v>0.1386520614</v>
      </c>
      <c r="K40" t="n">
        <v>0.1527046353</v>
      </c>
      <c r="L40" t="n">
        <v>0.2077797368</v>
      </c>
      <c r="M40" t="n">
        <v>0.1796071021</v>
      </c>
      <c r="N40" t="n">
        <v>0.2131961372</v>
      </c>
      <c r="O40" t="n">
        <v>0.2222687263</v>
      </c>
      <c r="P40" t="n">
        <v>0.2364932847</v>
      </c>
      <c r="Q40" t="n">
        <v>0.1809577814</v>
      </c>
      <c r="R40" t="n">
        <v>0.1736760271</v>
      </c>
      <c r="S40" t="n">
        <v>0.1455239106</v>
      </c>
      <c r="T40" t="n">
        <v>0.1373762252</v>
      </c>
      <c r="U40" t="n">
        <v>0.1701777073</v>
      </c>
      <c r="V40" t="n">
        <v>0.2042328453</v>
      </c>
      <c r="W40" t="n">
        <v>0.1794933616</v>
      </c>
      <c r="X40" t="n">
        <v>0.2079553757</v>
      </c>
      <c r="Y40" t="n">
        <v>0.2212804255</v>
      </c>
      <c r="Z40" t="n">
        <v>0.2348775483</v>
      </c>
      <c r="AA40" t="n">
        <v>0.1788306523</v>
      </c>
      <c r="AB40" t="n">
        <v>0.1590930324</v>
      </c>
      <c r="AC40" t="n">
        <v>0.1481467792</v>
      </c>
      <c r="AD40" t="n">
        <v>0.1451453963</v>
      </c>
      <c r="AE40" t="n">
        <v>0.1878543198</v>
      </c>
      <c r="AF40" t="n">
        <v>0.2120470841</v>
      </c>
      <c r="AG40" t="n">
        <v>0.1785045489</v>
      </c>
      <c r="AH40" t="n">
        <v>0.1993961017</v>
      </c>
      <c r="AI40" t="n">
        <v>0.2201893873</v>
      </c>
      <c r="AJ40" t="n">
        <v>0.2311414638</v>
      </c>
      <c r="AK40" t="n">
        <v>0.175504121</v>
      </c>
      <c r="AL40" t="n">
        <v>0.1530575881</v>
      </c>
      <c r="AM40" t="n">
        <v>0.147335965</v>
      </c>
      <c r="AN40" t="n">
        <v>0.1476814254</v>
      </c>
      <c r="AO40" t="n">
        <v>0.2072899004</v>
      </c>
      <c r="AP40" t="n">
        <v>0.2328957429</v>
      </c>
    </row>
    <row r="41">
      <c r="B41" t="n">
        <v>560</v>
      </c>
      <c r="C41" t="n">
        <v>0.1682120435</v>
      </c>
      <c r="D41" t="n">
        <v>0.2027358729</v>
      </c>
      <c r="E41" t="n">
        <v>0.2139075958</v>
      </c>
      <c r="F41" t="n">
        <v>0.2403581104</v>
      </c>
      <c r="G41" t="n">
        <v>0.1662889496</v>
      </c>
      <c r="H41" t="n">
        <v>0.1731739669</v>
      </c>
      <c r="I41" t="n">
        <v>0.1503617441</v>
      </c>
      <c r="J41" t="n">
        <v>0.1473819755</v>
      </c>
      <c r="K41" t="n">
        <v>0.1667727996</v>
      </c>
      <c r="L41" t="n">
        <v>0.2247102616</v>
      </c>
      <c r="M41" t="n">
        <v>0.1646147295</v>
      </c>
      <c r="N41" t="n">
        <v>0.1990236241</v>
      </c>
      <c r="O41" t="n">
        <v>0.2103646747</v>
      </c>
      <c r="P41" t="n">
        <v>0.2321441848</v>
      </c>
      <c r="Q41" t="n">
        <v>0.1719948135</v>
      </c>
      <c r="R41" t="n">
        <v>0.1750534732</v>
      </c>
      <c r="S41" t="n">
        <v>0.1463096369</v>
      </c>
      <c r="T41" t="n">
        <v>0.1532750259</v>
      </c>
      <c r="U41" t="n">
        <v>0.1910148457</v>
      </c>
      <c r="V41" t="n">
        <v>0.2135779908</v>
      </c>
      <c r="W41" t="n">
        <v>0.165726744</v>
      </c>
      <c r="X41" t="n">
        <v>0.1909153568</v>
      </c>
      <c r="Y41" t="n">
        <v>0.2093285856</v>
      </c>
      <c r="Z41" t="n">
        <v>0.2270299374</v>
      </c>
      <c r="AA41" t="n">
        <v>0.1735904104</v>
      </c>
      <c r="AB41" t="n">
        <v>0.1578307344</v>
      </c>
      <c r="AC41" t="n">
        <v>0.1485602912</v>
      </c>
      <c r="AD41" t="n">
        <v>0.165732963</v>
      </c>
      <c r="AE41" t="n">
        <v>0.2148843366</v>
      </c>
      <c r="AF41" t="n">
        <v>0.2155087724</v>
      </c>
      <c r="AG41" t="n">
        <v>0.166583229</v>
      </c>
      <c r="AH41" t="n">
        <v>0.1822597563</v>
      </c>
      <c r="AI41" t="n">
        <v>0.2074627558</v>
      </c>
      <c r="AJ41" t="n">
        <v>0.2209927206</v>
      </c>
      <c r="AK41" t="n">
        <v>0.1722455148</v>
      </c>
      <c r="AL41" t="n">
        <v>0.1517434496</v>
      </c>
      <c r="AM41" t="n">
        <v>0.1477213766</v>
      </c>
      <c r="AN41" t="n">
        <v>0.1649320317</v>
      </c>
      <c r="AO41" t="n">
        <v>0.2333533523</v>
      </c>
      <c r="AP41" t="n">
        <v>0.2333447512</v>
      </c>
    </row>
    <row r="42">
      <c r="B42" t="n">
        <v>565</v>
      </c>
      <c r="C42" t="n">
        <v>0.1547079899</v>
      </c>
      <c r="D42" t="n">
        <v>0.1895127642</v>
      </c>
      <c r="E42" t="n">
        <v>0.203874082</v>
      </c>
      <c r="F42" t="n">
        <v>0.2386447523</v>
      </c>
      <c r="G42" t="n">
        <v>0.1570973183</v>
      </c>
      <c r="H42" t="n">
        <v>0.1716675541</v>
      </c>
      <c r="I42" t="n">
        <v>0.1508669465</v>
      </c>
      <c r="J42" t="n">
        <v>0.1587258324</v>
      </c>
      <c r="K42" t="n">
        <v>0.1857837965</v>
      </c>
      <c r="L42" t="n">
        <v>0.2377641769</v>
      </c>
      <c r="M42" t="n">
        <v>0.1519048008</v>
      </c>
      <c r="N42" t="n">
        <v>0.1840685763</v>
      </c>
      <c r="O42" t="n">
        <v>0.198087294</v>
      </c>
      <c r="P42" t="n">
        <v>0.2280585294</v>
      </c>
      <c r="Q42" t="n">
        <v>0.1648817838</v>
      </c>
      <c r="R42" t="n">
        <v>0.1746631746</v>
      </c>
      <c r="S42" t="n">
        <v>0.1482085492</v>
      </c>
      <c r="T42" t="n">
        <v>0.1727686643</v>
      </c>
      <c r="U42" t="n">
        <v>0.2138674804</v>
      </c>
      <c r="V42" t="n">
        <v>0.2221210028</v>
      </c>
      <c r="W42" t="n">
        <v>0.1543164536</v>
      </c>
      <c r="X42" t="n">
        <v>0.1764750004</v>
      </c>
      <c r="Y42" t="n">
        <v>0.1968611394</v>
      </c>
      <c r="Z42" t="n">
        <v>0.2191099516</v>
      </c>
      <c r="AA42" t="n">
        <v>0.1692085995</v>
      </c>
      <c r="AB42" t="n">
        <v>0.156477121</v>
      </c>
      <c r="AC42" t="n">
        <v>0.1483866474</v>
      </c>
      <c r="AD42" t="n">
        <v>0.1869645698</v>
      </c>
      <c r="AE42" t="n">
        <v>0.2397559385</v>
      </c>
      <c r="AF42" t="n">
        <v>0.2180994142</v>
      </c>
      <c r="AG42" t="n">
        <v>0.1564645994</v>
      </c>
      <c r="AH42" t="n">
        <v>0.1658013464</v>
      </c>
      <c r="AI42" t="n">
        <v>0.1932434923</v>
      </c>
      <c r="AJ42" t="n">
        <v>0.2106207909</v>
      </c>
      <c r="AK42" t="n">
        <v>0.1697283092</v>
      </c>
      <c r="AL42" t="n">
        <v>0.1518581548</v>
      </c>
      <c r="AM42" t="n">
        <v>0.1467456361</v>
      </c>
      <c r="AN42" t="n">
        <v>0.1845748523</v>
      </c>
      <c r="AO42" t="n">
        <v>0.2525371781</v>
      </c>
      <c r="AP42" t="n">
        <v>0.2327571598</v>
      </c>
    </row>
    <row r="43">
      <c r="B43" t="n">
        <v>570</v>
      </c>
      <c r="C43" t="n">
        <v>0.1423631434</v>
      </c>
      <c r="D43" t="n">
        <v>0.1753482774</v>
      </c>
      <c r="E43" t="n">
        <v>0.1930872548</v>
      </c>
      <c r="F43" t="n">
        <v>0.2353650188</v>
      </c>
      <c r="G43" t="n">
        <v>0.1507564546</v>
      </c>
      <c r="H43" t="n">
        <v>0.1709232945</v>
      </c>
      <c r="I43" t="n">
        <v>0.1545028343</v>
      </c>
      <c r="J43" t="n">
        <v>0.1728990375</v>
      </c>
      <c r="K43" t="n">
        <v>0.2087310653</v>
      </c>
      <c r="L43" t="n">
        <v>0.2467573473</v>
      </c>
      <c r="M43" t="n">
        <v>0.1411432446</v>
      </c>
      <c r="N43" t="n">
        <v>0.1700817237</v>
      </c>
      <c r="O43" t="n">
        <v>0.185524795</v>
      </c>
      <c r="P43" t="n">
        <v>0.222701368</v>
      </c>
      <c r="Q43" t="n">
        <v>0.1598527185</v>
      </c>
      <c r="R43" t="n">
        <v>0.1731121758</v>
      </c>
      <c r="S43" t="n">
        <v>0.1544800747</v>
      </c>
      <c r="T43" t="n">
        <v>0.1934923676</v>
      </c>
      <c r="U43" t="n">
        <v>0.2360209786</v>
      </c>
      <c r="V43" t="n">
        <v>0.2300190359</v>
      </c>
      <c r="W43" t="n">
        <v>0.144610292</v>
      </c>
      <c r="X43" t="n">
        <v>0.1625472207</v>
      </c>
      <c r="Y43" t="n">
        <v>0.1845922886</v>
      </c>
      <c r="Z43" t="n">
        <v>0.2104403211</v>
      </c>
      <c r="AA43" t="n">
        <v>0.1665973574</v>
      </c>
      <c r="AB43" t="n">
        <v>0.1570230705</v>
      </c>
      <c r="AC43" t="n">
        <v>0.150606104</v>
      </c>
      <c r="AD43" t="n">
        <v>0.2057723631</v>
      </c>
      <c r="AE43" t="n">
        <v>0.2576891823</v>
      </c>
      <c r="AF43" t="n">
        <v>0.2210811178</v>
      </c>
      <c r="AG43" t="n">
        <v>0.1486242299</v>
      </c>
      <c r="AH43" t="n">
        <v>0.1514560285</v>
      </c>
      <c r="AI43" t="n">
        <v>0.1798594857</v>
      </c>
      <c r="AJ43" t="n">
        <v>0.1999364729</v>
      </c>
      <c r="AK43" t="n">
        <v>0.1699003517</v>
      </c>
      <c r="AL43" t="n">
        <v>0.1554942254</v>
      </c>
      <c r="AM43" t="n">
        <v>0.1476435647</v>
      </c>
      <c r="AN43" t="n">
        <v>0.2046410455</v>
      </c>
      <c r="AO43" t="n">
        <v>0.2633817598</v>
      </c>
      <c r="AP43" t="n">
        <v>0.2311579163</v>
      </c>
    </row>
    <row r="44">
      <c r="B44" t="n">
        <v>575</v>
      </c>
      <c r="C44" t="n">
        <v>0.1329910593</v>
      </c>
      <c r="D44" t="n">
        <v>0.1616779762</v>
      </c>
      <c r="E44" t="n">
        <v>0.1822960658</v>
      </c>
      <c r="F44" t="n">
        <v>0.2309504831</v>
      </c>
      <c r="G44" t="n">
        <v>0.1465508996</v>
      </c>
      <c r="H44" t="n">
        <v>0.172237761</v>
      </c>
      <c r="I44" t="n">
        <v>0.1644134642</v>
      </c>
      <c r="J44" t="n">
        <v>0.1927555064</v>
      </c>
      <c r="K44" t="n">
        <v>0.2353778728</v>
      </c>
      <c r="L44" t="n">
        <v>0.2523081389</v>
      </c>
      <c r="M44" t="n">
        <v>0.1327401928</v>
      </c>
      <c r="N44" t="n">
        <v>0.156035497</v>
      </c>
      <c r="O44" t="n">
        <v>0.1740131618</v>
      </c>
      <c r="P44" t="n">
        <v>0.2178258092</v>
      </c>
      <c r="Q44" t="n">
        <v>0.1565922998</v>
      </c>
      <c r="R44" t="n">
        <v>0.1717065091</v>
      </c>
      <c r="S44" t="n">
        <v>0.1678881844</v>
      </c>
      <c r="T44" t="n">
        <v>0.2175216174</v>
      </c>
      <c r="U44" t="n">
        <v>0.2563518747</v>
      </c>
      <c r="V44" t="n">
        <v>0.2355785398</v>
      </c>
      <c r="W44" t="n">
        <v>0.1371622445</v>
      </c>
      <c r="X44" t="n">
        <v>0.1491432596</v>
      </c>
      <c r="Y44" t="n">
        <v>0.1719149532</v>
      </c>
      <c r="Z44" t="n">
        <v>0.2021224197</v>
      </c>
      <c r="AA44" t="n">
        <v>0.1667928934</v>
      </c>
      <c r="AB44" t="n">
        <v>0.1625455663</v>
      </c>
      <c r="AC44" t="n">
        <v>0.1594325622</v>
      </c>
      <c r="AD44" t="n">
        <v>0.2263975202</v>
      </c>
      <c r="AE44" t="n">
        <v>0.2694676193</v>
      </c>
      <c r="AF44" t="n">
        <v>0.2223217287</v>
      </c>
      <c r="AG44" t="n">
        <v>0.1427113017</v>
      </c>
      <c r="AH44" t="n">
        <v>0.1390595487</v>
      </c>
      <c r="AI44" t="n">
        <v>0.1660685181</v>
      </c>
      <c r="AJ44" t="n">
        <v>0.1895727163</v>
      </c>
      <c r="AK44" t="n">
        <v>0.1717330836</v>
      </c>
      <c r="AL44" t="n">
        <v>0.1656649054</v>
      </c>
      <c r="AM44" t="n">
        <v>0.1564881008</v>
      </c>
      <c r="AN44" t="n">
        <v>0.2283923536</v>
      </c>
      <c r="AO44" t="n">
        <v>0.2692571176</v>
      </c>
      <c r="AP44" t="n">
        <v>0.2289108284</v>
      </c>
    </row>
    <row r="45">
      <c r="B45" t="n">
        <v>580</v>
      </c>
      <c r="C45" t="n">
        <v>0.1251006891</v>
      </c>
      <c r="D45" t="n">
        <v>0.1491869952</v>
      </c>
      <c r="E45" t="n">
        <v>0.1711816835</v>
      </c>
      <c r="F45" t="n">
        <v>0.2265534758</v>
      </c>
      <c r="G45" t="n">
        <v>0.1439305002</v>
      </c>
      <c r="H45" t="n">
        <v>0.1753849674</v>
      </c>
      <c r="I45" t="n">
        <v>0.18072147</v>
      </c>
      <c r="J45" t="n">
        <v>0.2198771355</v>
      </c>
      <c r="K45" t="n">
        <v>0.2630130985</v>
      </c>
      <c r="L45" t="n">
        <v>0.255865875</v>
      </c>
      <c r="M45" t="n">
        <v>0.1260072198</v>
      </c>
      <c r="N45" t="n">
        <v>0.1433675468</v>
      </c>
      <c r="O45" t="n">
        <v>0.162614793</v>
      </c>
      <c r="P45" t="n">
        <v>0.2119069241</v>
      </c>
      <c r="Q45" t="n">
        <v>0.1554507654</v>
      </c>
      <c r="R45" t="n">
        <v>0.1722329964</v>
      </c>
      <c r="S45" t="n">
        <v>0.1888497792</v>
      </c>
      <c r="T45" t="n">
        <v>0.2469495165</v>
      </c>
      <c r="U45" t="n">
        <v>0.2741779239</v>
      </c>
      <c r="V45" t="n">
        <v>0.2397795398</v>
      </c>
      <c r="W45" t="n">
        <v>0.1311634055</v>
      </c>
      <c r="X45" t="n">
        <v>0.1373225312</v>
      </c>
      <c r="Y45" t="n">
        <v>0.1585850581</v>
      </c>
      <c r="Z45" t="n">
        <v>0.1938818852</v>
      </c>
      <c r="AA45" t="n">
        <v>0.1684103431</v>
      </c>
      <c r="AB45" t="n">
        <v>0.1741913633</v>
      </c>
      <c r="AC45" t="n">
        <v>0.1785629448</v>
      </c>
      <c r="AD45" t="n">
        <v>0.2533800156</v>
      </c>
      <c r="AE45" t="n">
        <v>0.2773335253</v>
      </c>
      <c r="AF45" t="n">
        <v>0.2239135847</v>
      </c>
      <c r="AG45" t="n">
        <v>0.1382746543</v>
      </c>
      <c r="AH45" t="n">
        <v>0.1286159355</v>
      </c>
      <c r="AI45" t="n">
        <v>0.1525159222</v>
      </c>
      <c r="AJ45" t="n">
        <v>0.1800398712</v>
      </c>
      <c r="AK45" t="n">
        <v>0.1762269701</v>
      </c>
      <c r="AL45" t="n">
        <v>0.1831836289</v>
      </c>
      <c r="AM45" t="n">
        <v>0.1775431056</v>
      </c>
      <c r="AN45" t="n">
        <v>0.2570450053</v>
      </c>
      <c r="AO45" t="n">
        <v>0.2722380961</v>
      </c>
      <c r="AP45" t="n">
        <v>0.2268301227</v>
      </c>
    </row>
    <row r="46">
      <c r="B46" t="n">
        <v>585</v>
      </c>
      <c r="C46" t="n">
        <v>0.1184755637</v>
      </c>
      <c r="D46" t="n">
        <v>0.1362014656</v>
      </c>
      <c r="E46" t="n">
        <v>0.1605401002</v>
      </c>
      <c r="F46" t="n">
        <v>0.2206131702</v>
      </c>
      <c r="G46" t="n">
        <v>0.1427805045</v>
      </c>
      <c r="H46" t="n">
        <v>0.1801652254</v>
      </c>
      <c r="I46" t="n">
        <v>0.2039880424</v>
      </c>
      <c r="J46" t="n">
        <v>0.252960093</v>
      </c>
      <c r="K46" t="n">
        <v>0.288465752</v>
      </c>
      <c r="L46" t="n">
        <v>0.258017715</v>
      </c>
      <c r="M46" t="n">
        <v>0.1208960693</v>
      </c>
      <c r="N46" t="n">
        <v>0.1305468459</v>
      </c>
      <c r="O46" t="n">
        <v>0.1503348368</v>
      </c>
      <c r="P46" t="n">
        <v>0.2050348397</v>
      </c>
      <c r="Q46" t="n">
        <v>0.1552856581</v>
      </c>
      <c r="R46" t="n">
        <v>0.1738382391</v>
      </c>
      <c r="S46" t="n">
        <v>0.2169547926</v>
      </c>
      <c r="T46" t="n">
        <v>0.2782482095</v>
      </c>
      <c r="U46" t="n">
        <v>0.287829694</v>
      </c>
      <c r="V46" t="n">
        <v>0.2426102556</v>
      </c>
      <c r="W46" t="n">
        <v>0.1267125668</v>
      </c>
      <c r="X46" t="n">
        <v>0.1250487081</v>
      </c>
      <c r="Y46" t="n">
        <v>0.1451980946</v>
      </c>
      <c r="Z46" t="n">
        <v>0.1848167169</v>
      </c>
      <c r="AA46" t="n">
        <v>0.1713045427</v>
      </c>
      <c r="AB46" t="n">
        <v>0.1872842801</v>
      </c>
      <c r="AC46" t="n">
        <v>0.2086189171</v>
      </c>
      <c r="AD46" t="n">
        <v>0.2836305534</v>
      </c>
      <c r="AE46" t="n">
        <v>0.2824604863</v>
      </c>
      <c r="AF46" t="n">
        <v>0.2248039915</v>
      </c>
      <c r="AG46" t="n">
        <v>0.1349200807</v>
      </c>
      <c r="AH46" t="n">
        <v>0.1193867949</v>
      </c>
      <c r="AI46" t="n">
        <v>0.1394301307</v>
      </c>
      <c r="AJ46" t="n">
        <v>0.1698669483</v>
      </c>
      <c r="AK46" t="n">
        <v>0.1827820359</v>
      </c>
      <c r="AL46" t="n">
        <v>0.2069811607</v>
      </c>
      <c r="AM46" t="n">
        <v>0.2133479656</v>
      </c>
      <c r="AN46" t="n">
        <v>0.2875310637</v>
      </c>
      <c r="AO46" t="n">
        <v>0.2737028641</v>
      </c>
      <c r="AP46" t="n">
        <v>0.225082053</v>
      </c>
    </row>
    <row r="47">
      <c r="B47" t="n">
        <v>590</v>
      </c>
      <c r="C47" t="n">
        <v>0.1123655203</v>
      </c>
      <c r="D47" t="n">
        <v>0.1227128799</v>
      </c>
      <c r="E47" t="n">
        <v>0.1484386434</v>
      </c>
      <c r="F47" t="n">
        <v>0.2134017854</v>
      </c>
      <c r="G47" t="n">
        <v>0.1416110885</v>
      </c>
      <c r="H47" t="n">
        <v>0.1870078705</v>
      </c>
      <c r="I47" t="n">
        <v>0.2312898293</v>
      </c>
      <c r="J47" t="n">
        <v>0.2861305064</v>
      </c>
      <c r="K47" t="n">
        <v>0.3113192933</v>
      </c>
      <c r="L47" t="n">
        <v>0.2594084112</v>
      </c>
      <c r="M47" t="n">
        <v>0.1161436364</v>
      </c>
      <c r="N47" t="n">
        <v>0.1185869402</v>
      </c>
      <c r="O47" t="n">
        <v>0.1383968464</v>
      </c>
      <c r="P47" t="n">
        <v>0.1967588264</v>
      </c>
      <c r="Q47" t="n">
        <v>0.1554201382</v>
      </c>
      <c r="R47" t="n">
        <v>0.1787698352</v>
      </c>
      <c r="S47" t="n">
        <v>0.2482183487</v>
      </c>
      <c r="T47" t="n">
        <v>0.3057060074</v>
      </c>
      <c r="U47" t="n">
        <v>0.2992329926</v>
      </c>
      <c r="V47" t="n">
        <v>0.2445879972</v>
      </c>
      <c r="W47" t="n">
        <v>0.1228750694</v>
      </c>
      <c r="X47" t="n">
        <v>0.1144887684</v>
      </c>
      <c r="Y47" t="n">
        <v>0.1321698028</v>
      </c>
      <c r="Z47" t="n">
        <v>0.1751379057</v>
      </c>
      <c r="AA47" t="n">
        <v>0.1741302807</v>
      </c>
      <c r="AB47" t="n">
        <v>0.1999358753</v>
      </c>
      <c r="AC47" t="n">
        <v>0.2449927412</v>
      </c>
      <c r="AD47" t="n">
        <v>0.3097114375</v>
      </c>
      <c r="AE47" t="n">
        <v>0.2865395474</v>
      </c>
      <c r="AF47" t="n">
        <v>0.225929854</v>
      </c>
      <c r="AG47" t="n">
        <v>0.1319949842</v>
      </c>
      <c r="AH47" t="n">
        <v>0.1109177616</v>
      </c>
      <c r="AI47" t="n">
        <v>0.1259058834</v>
      </c>
      <c r="AJ47" t="n">
        <v>0.159592222</v>
      </c>
      <c r="AK47" t="n">
        <v>0.1904405634</v>
      </c>
      <c r="AL47" t="n">
        <v>0.2328891386</v>
      </c>
      <c r="AM47" t="n">
        <v>0.2562228497</v>
      </c>
      <c r="AN47" t="n">
        <v>0.3146779634</v>
      </c>
      <c r="AO47" t="n">
        <v>0.2745137108</v>
      </c>
      <c r="AP47" t="n">
        <v>0.2215794677</v>
      </c>
    </row>
    <row r="48">
      <c r="B48" t="n">
        <v>595</v>
      </c>
      <c r="C48" t="n">
        <v>0.10696344</v>
      </c>
      <c r="D48" t="n">
        <v>0.1109845281</v>
      </c>
      <c r="E48" t="n">
        <v>0.1371651646</v>
      </c>
      <c r="F48" t="n">
        <v>0.2047304555</v>
      </c>
      <c r="G48" t="n">
        <v>0.1399906959</v>
      </c>
      <c r="H48" t="n">
        <v>0.1966105007</v>
      </c>
      <c r="I48" t="n">
        <v>0.2593626011</v>
      </c>
      <c r="J48" t="n">
        <v>0.315144088</v>
      </c>
      <c r="K48" t="n">
        <v>0.3277143808</v>
      </c>
      <c r="L48" t="n">
        <v>0.2603832848</v>
      </c>
      <c r="M48" t="n">
        <v>0.1120084198</v>
      </c>
      <c r="N48" t="n">
        <v>0.1073045087</v>
      </c>
      <c r="O48" t="n">
        <v>0.1268729529</v>
      </c>
      <c r="P48" t="n">
        <v>0.1881681296</v>
      </c>
      <c r="Q48" t="n">
        <v>0.1554996957</v>
      </c>
      <c r="R48" t="n">
        <v>0.1877605903</v>
      </c>
      <c r="S48" t="n">
        <v>0.2783127715</v>
      </c>
      <c r="T48" t="n">
        <v>0.3273285504</v>
      </c>
      <c r="U48" t="n">
        <v>0.3073758407</v>
      </c>
      <c r="V48" t="n">
        <v>0.2458782125</v>
      </c>
      <c r="W48" t="n">
        <v>0.1194765254</v>
      </c>
      <c r="X48" t="n">
        <v>0.1041093568</v>
      </c>
      <c r="Y48" t="n">
        <v>0.1193637949</v>
      </c>
      <c r="Z48" t="n">
        <v>0.1651037121</v>
      </c>
      <c r="AA48" t="n">
        <v>0.1772356044</v>
      </c>
      <c r="AB48" t="n">
        <v>0.2143248834</v>
      </c>
      <c r="AC48" t="n">
        <v>0.2813836562</v>
      </c>
      <c r="AD48" t="n">
        <v>0.3300395971</v>
      </c>
      <c r="AE48" t="n">
        <v>0.2902410012</v>
      </c>
      <c r="AF48" t="n">
        <v>0.2257565175</v>
      </c>
      <c r="AG48" t="n">
        <v>0.1292559674</v>
      </c>
      <c r="AH48" t="n">
        <v>0.1031507115</v>
      </c>
      <c r="AI48" t="n">
        <v>0.1131912929</v>
      </c>
      <c r="AJ48" t="n">
        <v>0.1490210345</v>
      </c>
      <c r="AK48" t="n">
        <v>0.1977322088</v>
      </c>
      <c r="AL48" t="n">
        <v>0.2576522543</v>
      </c>
      <c r="AM48" t="n">
        <v>0.2980123678</v>
      </c>
      <c r="AN48" t="n">
        <v>0.3350102193</v>
      </c>
      <c r="AO48" t="n">
        <v>0.275254216</v>
      </c>
      <c r="AP48" t="n">
        <v>0.2182926774</v>
      </c>
    </row>
    <row r="49">
      <c r="B49" t="n">
        <v>600</v>
      </c>
      <c r="C49" t="n">
        <v>0.1015442988</v>
      </c>
      <c r="D49" t="n">
        <v>0.1005872797</v>
      </c>
      <c r="E49" t="n">
        <v>0.1259956654</v>
      </c>
      <c r="F49" t="n">
        <v>0.195402384</v>
      </c>
      <c r="G49" t="n">
        <v>0.1381323458</v>
      </c>
      <c r="H49" t="n">
        <v>0.2067219532</v>
      </c>
      <c r="I49" t="n">
        <v>0.2851474475</v>
      </c>
      <c r="J49" t="n">
        <v>0.3386000485</v>
      </c>
      <c r="K49" t="n">
        <v>0.3393786663</v>
      </c>
      <c r="L49" t="n">
        <v>0.2598285428</v>
      </c>
      <c r="M49" t="n">
        <v>0.1081333996</v>
      </c>
      <c r="N49" t="n">
        <v>0.09621224428</v>
      </c>
      <c r="O49" t="n">
        <v>0.1159127322</v>
      </c>
      <c r="P49" t="n">
        <v>0.1782693735</v>
      </c>
      <c r="Q49" t="n">
        <v>0.1550447845</v>
      </c>
      <c r="R49" t="n">
        <v>0.2011877882</v>
      </c>
      <c r="S49" t="n">
        <v>0.3057918111</v>
      </c>
      <c r="T49" t="n">
        <v>0.3429935264</v>
      </c>
      <c r="U49" t="n">
        <v>0.3120789991</v>
      </c>
      <c r="V49" t="n">
        <v>0.2456809414</v>
      </c>
      <c r="W49" t="n">
        <v>0.1162387761</v>
      </c>
      <c r="X49" t="n">
        <v>0.0947600374</v>
      </c>
      <c r="Y49" t="n">
        <v>0.1080287836</v>
      </c>
      <c r="Z49" t="n">
        <v>0.1548178414</v>
      </c>
      <c r="AA49" t="n">
        <v>0.1779193658</v>
      </c>
      <c r="AB49" t="n">
        <v>0.2310514376</v>
      </c>
      <c r="AC49" t="n">
        <v>0.3147177737</v>
      </c>
      <c r="AD49" t="n">
        <v>0.343580323</v>
      </c>
      <c r="AE49" t="n">
        <v>0.2920923858</v>
      </c>
      <c r="AF49" t="n">
        <v>0.2264085023</v>
      </c>
      <c r="AG49" t="n">
        <v>0.1264402054</v>
      </c>
      <c r="AH49" t="n">
        <v>0.09580321349</v>
      </c>
      <c r="AI49" t="n">
        <v>0.1030186711</v>
      </c>
      <c r="AJ49" t="n">
        <v>0.1388540737</v>
      </c>
      <c r="AK49" t="n">
        <v>0.2025431218</v>
      </c>
      <c r="AL49" t="n">
        <v>0.2788234208</v>
      </c>
      <c r="AM49" t="n">
        <v>0.3333537796</v>
      </c>
      <c r="AN49" t="n">
        <v>0.3491939752</v>
      </c>
      <c r="AO49" t="n">
        <v>0.2744059383</v>
      </c>
      <c r="AP49" t="n">
        <v>0.21289135</v>
      </c>
    </row>
    <row r="50">
      <c r="B50" t="n">
        <v>605</v>
      </c>
      <c r="C50" t="n">
        <v>0.09766288603000001</v>
      </c>
      <c r="D50" t="n">
        <v>0.09270114466</v>
      </c>
      <c r="E50" t="n">
        <v>0.1160788671</v>
      </c>
      <c r="F50" t="n">
        <v>0.1851997704</v>
      </c>
      <c r="G50" t="n">
        <v>0.1363391204</v>
      </c>
      <c r="H50" t="n">
        <v>0.216687242</v>
      </c>
      <c r="I50" t="n">
        <v>0.3064251514</v>
      </c>
      <c r="J50" t="n">
        <v>0.3557833895</v>
      </c>
      <c r="K50" t="n">
        <v>0.3448443075</v>
      </c>
      <c r="L50" t="n">
        <v>0.2603574843</v>
      </c>
      <c r="M50" t="n">
        <v>0.1048555485</v>
      </c>
      <c r="N50" t="n">
        <v>0.08883670098</v>
      </c>
      <c r="O50" t="n">
        <v>0.1061139939</v>
      </c>
      <c r="P50" t="n">
        <v>0.1685306358</v>
      </c>
      <c r="Q50" t="n">
        <v>0.1531197596</v>
      </c>
      <c r="R50" t="n">
        <v>0.2188955517</v>
      </c>
      <c r="S50" t="n">
        <v>0.3269715586</v>
      </c>
      <c r="T50" t="n">
        <v>0.3538315021</v>
      </c>
      <c r="U50" t="n">
        <v>0.3156315161</v>
      </c>
      <c r="V50" t="n">
        <v>0.2461679814</v>
      </c>
      <c r="W50" t="n">
        <v>0.1134607352</v>
      </c>
      <c r="X50" t="n">
        <v>0.08778026384</v>
      </c>
      <c r="Y50" t="n">
        <v>0.09924148094</v>
      </c>
      <c r="Z50" t="n">
        <v>0.1451590644</v>
      </c>
      <c r="AA50" t="n">
        <v>0.1775624572</v>
      </c>
      <c r="AB50" t="n">
        <v>0.2511110129</v>
      </c>
      <c r="AC50" t="n">
        <v>0.3411368001</v>
      </c>
      <c r="AD50" t="n">
        <v>0.3526552514</v>
      </c>
      <c r="AE50" t="n">
        <v>0.2940273155</v>
      </c>
      <c r="AF50" t="n">
        <v>0.2272593722</v>
      </c>
      <c r="AG50" t="n">
        <v>0.1241206611</v>
      </c>
      <c r="AH50" t="n">
        <v>0.08952294655</v>
      </c>
      <c r="AI50" t="n">
        <v>0.0945252685</v>
      </c>
      <c r="AJ50" t="n">
        <v>0.1295902689</v>
      </c>
      <c r="AK50" t="n">
        <v>0.2041396623</v>
      </c>
      <c r="AL50" t="n">
        <v>0.2950190433</v>
      </c>
      <c r="AM50" t="n">
        <v>0.360091963</v>
      </c>
      <c r="AN50" t="n">
        <v>0.3563068554</v>
      </c>
      <c r="AO50" t="n">
        <v>0.2750675493</v>
      </c>
      <c r="AP50" t="n">
        <v>0.2081537348</v>
      </c>
    </row>
    <row r="51">
      <c r="B51" t="n">
        <v>610</v>
      </c>
      <c r="C51" t="n">
        <v>0.09396172714999999</v>
      </c>
      <c r="D51" t="n">
        <v>0.08686902058</v>
      </c>
      <c r="E51" t="n">
        <v>0.1078749788</v>
      </c>
      <c r="F51" t="n">
        <v>0.1766046779</v>
      </c>
      <c r="G51" t="n">
        <v>0.1350979049</v>
      </c>
      <c r="H51" t="n">
        <v>0.2240906266</v>
      </c>
      <c r="I51" t="n">
        <v>0.3243241884</v>
      </c>
      <c r="J51" t="n">
        <v>0.3660771056</v>
      </c>
      <c r="K51" t="n">
        <v>0.347523051</v>
      </c>
      <c r="L51" t="n">
        <v>0.2598862129</v>
      </c>
      <c r="M51" t="n">
        <v>0.1023730853</v>
      </c>
      <c r="N51" t="n">
        <v>0.08344091264</v>
      </c>
      <c r="O51" t="n">
        <v>0.09820977061</v>
      </c>
      <c r="P51" t="n">
        <v>0.1604023228</v>
      </c>
      <c r="Q51" t="n">
        <v>0.1514254721</v>
      </c>
      <c r="R51" t="n">
        <v>0.2377639706</v>
      </c>
      <c r="S51" t="n">
        <v>0.3447753301</v>
      </c>
      <c r="T51" t="n">
        <v>0.3594993762</v>
      </c>
      <c r="U51" t="n">
        <v>0.3185329798</v>
      </c>
      <c r="V51" t="n">
        <v>0.2455116099</v>
      </c>
      <c r="W51" t="n">
        <v>0.1112966832</v>
      </c>
      <c r="X51" t="n">
        <v>0.08215695107</v>
      </c>
      <c r="Y51" t="n">
        <v>0.09241924149</v>
      </c>
      <c r="Z51" t="n">
        <v>0.1372570891</v>
      </c>
      <c r="AA51" t="n">
        <v>0.1760601118</v>
      </c>
      <c r="AB51" t="n">
        <v>0.2725934375</v>
      </c>
      <c r="AC51" t="n">
        <v>0.3610978553</v>
      </c>
      <c r="AD51" t="n">
        <v>0.3569935724</v>
      </c>
      <c r="AE51" t="n">
        <v>0.2960789559</v>
      </c>
      <c r="AF51" t="n">
        <v>0.2271143594</v>
      </c>
      <c r="AG51" t="n">
        <v>0.1223978475</v>
      </c>
      <c r="AH51" t="n">
        <v>0.08485980612000001</v>
      </c>
      <c r="AI51" t="n">
        <v>0.08798505291</v>
      </c>
      <c r="AJ51" t="n">
        <v>0.1221098632</v>
      </c>
      <c r="AK51" t="n">
        <v>0.2026939663</v>
      </c>
      <c r="AL51" t="n">
        <v>0.3065807303</v>
      </c>
      <c r="AM51" t="n">
        <v>0.3770951465</v>
      </c>
      <c r="AN51" t="n">
        <v>0.3591761137</v>
      </c>
      <c r="AO51" t="n">
        <v>0.2749809197</v>
      </c>
      <c r="AP51" t="n">
        <v>0.2027847762</v>
      </c>
    </row>
    <row r="52">
      <c r="B52" t="n">
        <v>615</v>
      </c>
      <c r="C52" t="n">
        <v>0.09220327490999999</v>
      </c>
      <c r="D52" t="n">
        <v>0.08257811130000001</v>
      </c>
      <c r="E52" t="n">
        <v>0.1014199269</v>
      </c>
      <c r="F52" t="n">
        <v>0.1694469589</v>
      </c>
      <c r="G52" t="n">
        <v>0.1344787452</v>
      </c>
      <c r="H52" t="n">
        <v>0.2262092672</v>
      </c>
      <c r="I52" t="n">
        <v>0.338201788</v>
      </c>
      <c r="J52" t="n">
        <v>0.3727838196</v>
      </c>
      <c r="K52" t="n">
        <v>0.3464652253</v>
      </c>
      <c r="L52" t="n">
        <v>0.2599941502</v>
      </c>
      <c r="M52" t="n">
        <v>0.1007857878</v>
      </c>
      <c r="N52" t="n">
        <v>0.07933235234</v>
      </c>
      <c r="O52" t="n">
        <v>0.09223962827</v>
      </c>
      <c r="P52" t="n">
        <v>0.1531567295</v>
      </c>
      <c r="Q52" t="n">
        <v>0.1496912109</v>
      </c>
      <c r="R52" t="n">
        <v>0.2541048249</v>
      </c>
      <c r="S52" t="n">
        <v>0.3561231371</v>
      </c>
      <c r="T52" t="n">
        <v>0.3634327117</v>
      </c>
      <c r="U52" t="n">
        <v>0.3199486159</v>
      </c>
      <c r="V52" t="n">
        <v>0.2461954381</v>
      </c>
      <c r="W52" t="n">
        <v>0.1098997657</v>
      </c>
      <c r="X52" t="n">
        <v>0.07824045271000001</v>
      </c>
      <c r="Y52" t="n">
        <v>0.08783514794</v>
      </c>
      <c r="Z52" t="n">
        <v>0.1307065638</v>
      </c>
      <c r="AA52" t="n">
        <v>0.1735480537</v>
      </c>
      <c r="AB52" t="n">
        <v>0.2910618725</v>
      </c>
      <c r="AC52" t="n">
        <v>0.3757928689</v>
      </c>
      <c r="AD52" t="n">
        <v>0.3594508711</v>
      </c>
      <c r="AE52" t="n">
        <v>0.2970754994</v>
      </c>
      <c r="AF52" t="n">
        <v>0.2276285836</v>
      </c>
      <c r="AG52" t="n">
        <v>0.1213165647</v>
      </c>
      <c r="AH52" t="n">
        <v>0.08221319282</v>
      </c>
      <c r="AI52" t="n">
        <v>0.08364023164000001</v>
      </c>
      <c r="AJ52" t="n">
        <v>0.116198999</v>
      </c>
      <c r="AK52" t="n">
        <v>0.1985812641</v>
      </c>
      <c r="AL52" t="n">
        <v>0.3150415527</v>
      </c>
      <c r="AM52" t="n">
        <v>0.3872841248</v>
      </c>
      <c r="AN52" t="n">
        <v>0.3583070177</v>
      </c>
      <c r="AO52" t="n">
        <v>0.2744300134</v>
      </c>
      <c r="AP52" t="n">
        <v>0.1986324637</v>
      </c>
    </row>
    <row r="53">
      <c r="B53" t="n">
        <v>620</v>
      </c>
      <c r="C53" t="n">
        <v>0.09072260004</v>
      </c>
      <c r="D53" t="n">
        <v>0.07946316479</v>
      </c>
      <c r="E53" t="n">
        <v>0.09636707693</v>
      </c>
      <c r="F53" t="n">
        <v>0.1635782341</v>
      </c>
      <c r="G53" t="n">
        <v>0.1348818369</v>
      </c>
      <c r="H53" t="n">
        <v>0.2256928174</v>
      </c>
      <c r="I53" t="n">
        <v>0.3471729253</v>
      </c>
      <c r="J53" t="n">
        <v>0.3782320466</v>
      </c>
      <c r="K53" t="n">
        <v>0.3451619781</v>
      </c>
      <c r="L53" t="n">
        <v>0.2592812349</v>
      </c>
      <c r="M53" t="n">
        <v>0.09977654284</v>
      </c>
      <c r="N53" t="n">
        <v>0.0762403789</v>
      </c>
      <c r="O53" t="n">
        <v>0.08803078487</v>
      </c>
      <c r="P53" t="n">
        <v>0.1476823359</v>
      </c>
      <c r="Q53" t="n">
        <v>0.1490604523</v>
      </c>
      <c r="R53" t="n">
        <v>0.266779448</v>
      </c>
      <c r="S53" t="n">
        <v>0.3649671197</v>
      </c>
      <c r="T53" t="n">
        <v>0.3668979307</v>
      </c>
      <c r="U53" t="n">
        <v>0.3203421665</v>
      </c>
      <c r="V53" t="n">
        <v>0.2454132883</v>
      </c>
      <c r="W53" t="n">
        <v>0.1091955691</v>
      </c>
      <c r="X53" t="n">
        <v>0.07628128581</v>
      </c>
      <c r="Y53" t="n">
        <v>0.08438779335</v>
      </c>
      <c r="Z53" t="n">
        <v>0.1252305715</v>
      </c>
      <c r="AA53" t="n">
        <v>0.1722373544</v>
      </c>
      <c r="AB53" t="n">
        <v>0.3076863011</v>
      </c>
      <c r="AC53" t="n">
        <v>0.386131534</v>
      </c>
      <c r="AD53" t="n">
        <v>0.3618112357</v>
      </c>
      <c r="AE53" t="n">
        <v>0.2976664871</v>
      </c>
      <c r="AF53" t="n">
        <v>0.2280562038</v>
      </c>
      <c r="AG53" t="n">
        <v>0.1209246797</v>
      </c>
      <c r="AH53" t="n">
        <v>0.08047647544</v>
      </c>
      <c r="AI53" t="n">
        <v>0.08029693179</v>
      </c>
      <c r="AJ53" t="n">
        <v>0.1109589532</v>
      </c>
      <c r="AK53" t="n">
        <v>0.1936063911</v>
      </c>
      <c r="AL53" t="n">
        <v>0.3210013966</v>
      </c>
      <c r="AM53" t="n">
        <v>0.3946354501</v>
      </c>
      <c r="AN53" t="n">
        <v>0.3577863279</v>
      </c>
      <c r="AO53" t="n">
        <v>0.2738863294</v>
      </c>
      <c r="AP53" t="n">
        <v>0.1952289959</v>
      </c>
    </row>
    <row r="54">
      <c r="B54" t="n">
        <v>625</v>
      </c>
      <c r="C54" t="n">
        <v>0.08998730442</v>
      </c>
      <c r="D54" t="n">
        <v>0.07720311747</v>
      </c>
      <c r="E54" t="n">
        <v>0.09258158039</v>
      </c>
      <c r="F54" t="n">
        <v>0.1589049319</v>
      </c>
      <c r="G54" t="n">
        <v>0.1367699858</v>
      </c>
      <c r="H54" t="n">
        <v>0.2255662596</v>
      </c>
      <c r="I54" t="n">
        <v>0.3536568144</v>
      </c>
      <c r="J54" t="n">
        <v>0.3793881055</v>
      </c>
      <c r="K54" t="n">
        <v>0.3438200678</v>
      </c>
      <c r="L54" t="n">
        <v>0.2592425157</v>
      </c>
      <c r="M54" t="n">
        <v>0.09965224207999999</v>
      </c>
      <c r="N54" t="n">
        <v>0.07379065671</v>
      </c>
      <c r="O54" t="n">
        <v>0.0840513487</v>
      </c>
      <c r="P54" t="n">
        <v>0.1433782824</v>
      </c>
      <c r="Q54" t="n">
        <v>0.1502121246</v>
      </c>
      <c r="R54" t="n">
        <v>0.2751341991</v>
      </c>
      <c r="S54" t="n">
        <v>0.3710803761</v>
      </c>
      <c r="T54" t="n">
        <v>0.3668494514</v>
      </c>
      <c r="U54" t="n">
        <v>0.3213664839</v>
      </c>
      <c r="V54" t="n">
        <v>0.245741105</v>
      </c>
      <c r="W54" t="n">
        <v>0.109024561</v>
      </c>
      <c r="X54" t="n">
        <v>0.07366884881999999</v>
      </c>
      <c r="Y54" t="n">
        <v>0.08114428216</v>
      </c>
      <c r="Z54" t="n">
        <v>0.1213912777</v>
      </c>
      <c r="AA54" t="n">
        <v>0.1715398016</v>
      </c>
      <c r="AB54" t="n">
        <v>0.3205761509</v>
      </c>
      <c r="AC54" t="n">
        <v>0.3926537772</v>
      </c>
      <c r="AD54" t="n">
        <v>0.3613520104</v>
      </c>
      <c r="AE54" t="n">
        <v>0.2987477063</v>
      </c>
      <c r="AF54" t="n">
        <v>0.2282810433</v>
      </c>
      <c r="AG54" t="n">
        <v>0.1211846434</v>
      </c>
      <c r="AH54" t="n">
        <v>0.07855227785</v>
      </c>
      <c r="AI54" t="n">
        <v>0.07858957375</v>
      </c>
      <c r="AJ54" t="n">
        <v>0.1075299632</v>
      </c>
      <c r="AK54" t="n">
        <v>0.1911304033</v>
      </c>
      <c r="AL54" t="n">
        <v>0.3243521682</v>
      </c>
      <c r="AM54" t="n">
        <v>0.3975152137</v>
      </c>
      <c r="AN54" t="n">
        <v>0.3558501956</v>
      </c>
      <c r="AO54" t="n">
        <v>0.2734640896</v>
      </c>
      <c r="AP54" t="n">
        <v>0.1918905039</v>
      </c>
    </row>
    <row r="55">
      <c r="B55" t="n">
        <v>630</v>
      </c>
      <c r="C55" t="n">
        <v>0.08864307372999999</v>
      </c>
      <c r="D55" t="n">
        <v>0.07582506579000001</v>
      </c>
      <c r="E55" t="n">
        <v>0.08950412503999999</v>
      </c>
      <c r="F55" t="n">
        <v>0.155699038</v>
      </c>
      <c r="G55" t="n">
        <v>0.1399223016</v>
      </c>
      <c r="H55" t="n">
        <v>0.2287270159</v>
      </c>
      <c r="I55" t="n">
        <v>0.3595851535</v>
      </c>
      <c r="J55" t="n">
        <v>0.3808445563</v>
      </c>
      <c r="K55" t="n">
        <v>0.3425568746</v>
      </c>
      <c r="L55" t="n">
        <v>0.2586252935</v>
      </c>
      <c r="M55" t="n">
        <v>0.09929539721</v>
      </c>
      <c r="N55" t="n">
        <v>0.07304403197000001</v>
      </c>
      <c r="O55" t="n">
        <v>0.08193069777</v>
      </c>
      <c r="P55" t="n">
        <v>0.1399807533</v>
      </c>
      <c r="Q55" t="n">
        <v>0.1525594576</v>
      </c>
      <c r="R55" t="n">
        <v>0.2847586338</v>
      </c>
      <c r="S55" t="n">
        <v>0.3761926942</v>
      </c>
      <c r="T55" t="n">
        <v>0.3671097176</v>
      </c>
      <c r="U55" t="n">
        <v>0.3223110333</v>
      </c>
      <c r="V55" t="n">
        <v>0.2450877846</v>
      </c>
      <c r="W55" t="n">
        <v>0.1086844595</v>
      </c>
      <c r="X55" t="n">
        <v>0.07294249896</v>
      </c>
      <c r="Y55" t="n">
        <v>0.07993411432</v>
      </c>
      <c r="Z55" t="n">
        <v>0.1184129674</v>
      </c>
      <c r="AA55" t="n">
        <v>0.1740876196</v>
      </c>
      <c r="AB55" t="n">
        <v>0.3295127606</v>
      </c>
      <c r="AC55" t="n">
        <v>0.3985353566</v>
      </c>
      <c r="AD55" t="n">
        <v>0.3609292786</v>
      </c>
      <c r="AE55" t="n">
        <v>0.3004240022</v>
      </c>
      <c r="AF55" t="n">
        <v>0.228829887</v>
      </c>
      <c r="AG55" t="n">
        <v>0.1217553585</v>
      </c>
      <c r="AH55" t="n">
        <v>0.07770042336000001</v>
      </c>
      <c r="AI55" t="n">
        <v>0.07676667023</v>
      </c>
      <c r="AJ55" t="n">
        <v>0.1048974898</v>
      </c>
      <c r="AK55" t="n">
        <v>0.1925073662</v>
      </c>
      <c r="AL55" t="n">
        <v>0.3280923958</v>
      </c>
      <c r="AM55" t="n">
        <v>0.4002501023</v>
      </c>
      <c r="AN55" t="n">
        <v>0.3541038003</v>
      </c>
      <c r="AO55" t="n">
        <v>0.2730340906</v>
      </c>
      <c r="AP55" t="n">
        <v>0.1893121543</v>
      </c>
    </row>
    <row r="56">
      <c r="B56" t="n">
        <v>635</v>
      </c>
      <c r="C56" t="n">
        <v>0.08820633838</v>
      </c>
      <c r="D56" t="n">
        <v>0.07404340329</v>
      </c>
      <c r="E56" t="n">
        <v>0.08588744593</v>
      </c>
      <c r="F56" t="n">
        <v>0.1519318712</v>
      </c>
      <c r="G56" t="n">
        <v>0.1430690517</v>
      </c>
      <c r="H56" t="n">
        <v>0.2362463597</v>
      </c>
      <c r="I56" t="n">
        <v>0.3629276559</v>
      </c>
      <c r="J56" t="n">
        <v>0.3810136323</v>
      </c>
      <c r="K56" t="n">
        <v>0.3404910068</v>
      </c>
      <c r="L56" t="n">
        <v>0.2585480774</v>
      </c>
      <c r="M56" t="n">
        <v>0.09877177397</v>
      </c>
      <c r="N56" t="n">
        <v>0.07121732814999999</v>
      </c>
      <c r="O56" t="n">
        <v>0.07907497373</v>
      </c>
      <c r="P56" t="n">
        <v>0.1365314882</v>
      </c>
      <c r="Q56" t="n">
        <v>0.1561630355</v>
      </c>
      <c r="R56" t="n">
        <v>0.2940148688</v>
      </c>
      <c r="S56" t="n">
        <v>0.3797279979</v>
      </c>
      <c r="T56" t="n">
        <v>0.3668973787</v>
      </c>
      <c r="U56" t="n">
        <v>0.3225499823</v>
      </c>
      <c r="V56" t="n">
        <v>0.2450350638</v>
      </c>
      <c r="W56" t="n">
        <v>0.1087260976</v>
      </c>
      <c r="X56" t="n">
        <v>0.07139763428</v>
      </c>
      <c r="Y56" t="n">
        <v>0.07760178617000001</v>
      </c>
      <c r="Z56" t="n">
        <v>0.1154774352</v>
      </c>
      <c r="AA56" t="n">
        <v>0.1779373726</v>
      </c>
      <c r="AB56" t="n">
        <v>0.3345290548</v>
      </c>
      <c r="AC56" t="n">
        <v>0.4010867681</v>
      </c>
      <c r="AD56" t="n">
        <v>0.3605012336</v>
      </c>
      <c r="AE56" t="n">
        <v>0.3008001774</v>
      </c>
      <c r="AF56" t="n">
        <v>0.2282763374</v>
      </c>
      <c r="AG56" t="n">
        <v>0.1222518286</v>
      </c>
      <c r="AH56" t="n">
        <v>0.07662048115</v>
      </c>
      <c r="AI56" t="n">
        <v>0.07506847786</v>
      </c>
      <c r="AJ56" t="n">
        <v>0.1023407795</v>
      </c>
      <c r="AK56" t="n">
        <v>0.1979091895</v>
      </c>
      <c r="AL56" t="n">
        <v>0.3294895339</v>
      </c>
      <c r="AM56" t="n">
        <v>0.4007171363</v>
      </c>
      <c r="AN56" t="n">
        <v>0.3518654132</v>
      </c>
      <c r="AO56" t="n">
        <v>0.2729546612</v>
      </c>
      <c r="AP56" t="n">
        <v>0.1865158742</v>
      </c>
    </row>
    <row r="57">
      <c r="B57" t="n">
        <v>640</v>
      </c>
      <c r="C57" t="n">
        <v>0.08756111344</v>
      </c>
      <c r="D57" t="n">
        <v>0.07285565335999999</v>
      </c>
      <c r="E57" t="n">
        <v>0.08375606888000001</v>
      </c>
      <c r="F57" t="n">
        <v>0.1491308769</v>
      </c>
      <c r="G57" t="n">
        <v>0.1471826537</v>
      </c>
      <c r="H57" t="n">
        <v>0.2469124957</v>
      </c>
      <c r="I57" t="n">
        <v>0.3650570415</v>
      </c>
      <c r="J57" t="n">
        <v>0.3819046862</v>
      </c>
      <c r="K57" t="n">
        <v>0.337622934</v>
      </c>
      <c r="L57" t="n">
        <v>0.2589098433</v>
      </c>
      <c r="M57" t="n">
        <v>0.09929649269</v>
      </c>
      <c r="N57" t="n">
        <v>0.07037286326</v>
      </c>
      <c r="O57" t="n">
        <v>0.07762373165</v>
      </c>
      <c r="P57" t="n">
        <v>0.1335764495</v>
      </c>
      <c r="Q57" t="n">
        <v>0.1608147931</v>
      </c>
      <c r="R57" t="n">
        <v>0.3041297792</v>
      </c>
      <c r="S57" t="n">
        <v>0.3825060058</v>
      </c>
      <c r="T57" t="n">
        <v>0.3680236269</v>
      </c>
      <c r="U57" t="n">
        <v>0.3224262545</v>
      </c>
      <c r="V57" t="n">
        <v>0.2454482945</v>
      </c>
      <c r="W57" t="n">
        <v>0.1091248696</v>
      </c>
      <c r="X57" t="n">
        <v>0.07182384383</v>
      </c>
      <c r="Y57" t="n">
        <v>0.07600574596</v>
      </c>
      <c r="Z57" t="n">
        <v>0.1127889887</v>
      </c>
      <c r="AA57" t="n">
        <v>0.1843974243</v>
      </c>
      <c r="AB57" t="n">
        <v>0.3392610937</v>
      </c>
      <c r="AC57" t="n">
        <v>0.4039248445</v>
      </c>
      <c r="AD57" t="n">
        <v>0.3615268121</v>
      </c>
      <c r="AE57" t="n">
        <v>0.3012394015</v>
      </c>
      <c r="AF57" t="n">
        <v>0.2294425979</v>
      </c>
      <c r="AG57" t="n">
        <v>0.123282203</v>
      </c>
      <c r="AH57" t="n">
        <v>0.07694687742</v>
      </c>
      <c r="AI57" t="n">
        <v>0.07399048693</v>
      </c>
      <c r="AJ57" t="n">
        <v>0.09992395065</v>
      </c>
      <c r="AK57" t="n">
        <v>0.2064598476</v>
      </c>
      <c r="AL57" t="n">
        <v>0.3301742612</v>
      </c>
      <c r="AM57" t="n">
        <v>0.401267801</v>
      </c>
      <c r="AN57" t="n">
        <v>0.3498113431</v>
      </c>
      <c r="AO57" t="n">
        <v>0.2732551429</v>
      </c>
      <c r="AP57" t="n">
        <v>0.1842592548</v>
      </c>
    </row>
    <row r="58">
      <c r="B58" t="n">
        <v>645</v>
      </c>
      <c r="C58" t="n">
        <v>0.08768621113</v>
      </c>
      <c r="D58" t="n">
        <v>0.07203912399</v>
      </c>
      <c r="E58" t="n">
        <v>0.08100976265</v>
      </c>
      <c r="F58" t="n">
        <v>0.146212284</v>
      </c>
      <c r="G58" t="n">
        <v>0.1514800492</v>
      </c>
      <c r="H58" t="n">
        <v>0.2612221473</v>
      </c>
      <c r="I58" t="n">
        <v>0.3665152468</v>
      </c>
      <c r="J58" t="n">
        <v>0.3813905875</v>
      </c>
      <c r="K58" t="n">
        <v>0.3367503868</v>
      </c>
      <c r="L58" t="n">
        <v>0.2580702406</v>
      </c>
      <c r="M58" t="n">
        <v>0.09991701833</v>
      </c>
      <c r="N58" t="n">
        <v>0.06911815758000001</v>
      </c>
      <c r="O58" t="n">
        <v>0.07542297368000001</v>
      </c>
      <c r="P58" t="n">
        <v>0.1304730743</v>
      </c>
      <c r="Q58" t="n">
        <v>0.1663676599</v>
      </c>
      <c r="R58" t="n">
        <v>0.3146805308</v>
      </c>
      <c r="S58" t="n">
        <v>0.3843056047</v>
      </c>
      <c r="T58" t="n">
        <v>0.3671513141</v>
      </c>
      <c r="U58" t="n">
        <v>0.3232675877</v>
      </c>
      <c r="V58" t="n">
        <v>0.2445751031</v>
      </c>
      <c r="W58" t="n">
        <v>0.1097746658</v>
      </c>
      <c r="X58" t="n">
        <v>0.07090256648</v>
      </c>
      <c r="Y58" t="n">
        <v>0.0744575428</v>
      </c>
      <c r="Z58" t="n">
        <v>0.1100564801</v>
      </c>
      <c r="AA58" t="n">
        <v>0.1919569326</v>
      </c>
      <c r="AB58" t="n">
        <v>0.3416644619</v>
      </c>
      <c r="AC58" t="n">
        <v>0.4056371029</v>
      </c>
      <c r="AD58" t="n">
        <v>0.3606141614</v>
      </c>
      <c r="AE58" t="n">
        <v>0.3026204319</v>
      </c>
      <c r="AF58" t="n">
        <v>0.2289306112</v>
      </c>
      <c r="AG58" t="n">
        <v>0.1246333704</v>
      </c>
      <c r="AH58" t="n">
        <v>0.07694680649000001</v>
      </c>
      <c r="AI58" t="n">
        <v>0.07246334966</v>
      </c>
      <c r="AJ58" t="n">
        <v>0.09750530927000001</v>
      </c>
      <c r="AK58" t="n">
        <v>0.2180173233</v>
      </c>
      <c r="AL58" t="n">
        <v>0.3308312368</v>
      </c>
      <c r="AM58" t="n">
        <v>0.4013938265</v>
      </c>
      <c r="AN58" t="n">
        <v>0.348386375</v>
      </c>
      <c r="AO58" t="n">
        <v>0.2725969306</v>
      </c>
      <c r="AP58" t="n">
        <v>0.1817273723</v>
      </c>
    </row>
    <row r="59">
      <c r="B59" t="n">
        <v>650</v>
      </c>
      <c r="C59" t="n">
        <v>0.08821355414</v>
      </c>
      <c r="D59" t="n">
        <v>0.07061577455</v>
      </c>
      <c r="E59" t="n">
        <v>0.07826754716999999</v>
      </c>
      <c r="F59" t="n">
        <v>0.1429677172</v>
      </c>
      <c r="G59" t="n">
        <v>0.1554550294</v>
      </c>
      <c r="H59" t="n">
        <v>0.2766248768</v>
      </c>
      <c r="I59" t="n">
        <v>0.3673506662</v>
      </c>
      <c r="J59" t="n">
        <v>0.3816353616</v>
      </c>
      <c r="K59" t="n">
        <v>0.3338855133</v>
      </c>
      <c r="L59" t="n">
        <v>0.2578326299</v>
      </c>
      <c r="M59" t="n">
        <v>0.1006465705</v>
      </c>
      <c r="N59" t="n">
        <v>0.06805480391</v>
      </c>
      <c r="O59" t="n">
        <v>0.07387014407</v>
      </c>
      <c r="P59" t="n">
        <v>0.1277782249</v>
      </c>
      <c r="Q59" t="n">
        <v>0.1720882567</v>
      </c>
      <c r="R59" t="n">
        <v>0.3251770667</v>
      </c>
      <c r="S59" t="n">
        <v>0.3841793651</v>
      </c>
      <c r="T59" t="n">
        <v>0.3673735826</v>
      </c>
      <c r="U59" t="n">
        <v>0.3237904128</v>
      </c>
      <c r="V59" t="n">
        <v>0.2445945566</v>
      </c>
      <c r="W59" t="n">
        <v>0.1106753586</v>
      </c>
      <c r="X59" t="n">
        <v>0.07054755627000001</v>
      </c>
      <c r="Y59" t="n">
        <v>0.07388136298</v>
      </c>
      <c r="Z59" t="n">
        <v>0.1077687799</v>
      </c>
      <c r="AA59" t="n">
        <v>0.2000090066</v>
      </c>
      <c r="AB59" t="n">
        <v>0.3446069797</v>
      </c>
      <c r="AC59" t="n">
        <v>0.4052147925</v>
      </c>
      <c r="AD59" t="n">
        <v>0.3612462151</v>
      </c>
      <c r="AE59" t="n">
        <v>0.3032365469</v>
      </c>
      <c r="AF59" t="n">
        <v>0.2286745865</v>
      </c>
      <c r="AG59" t="n">
        <v>0.1259514742</v>
      </c>
      <c r="AH59" t="n">
        <v>0.07646802110000001</v>
      </c>
      <c r="AI59" t="n">
        <v>0.07149829044</v>
      </c>
      <c r="AJ59" t="n">
        <v>0.09551906029</v>
      </c>
      <c r="AK59" t="n">
        <v>0.231696889</v>
      </c>
      <c r="AL59" t="n">
        <v>0.3307282608</v>
      </c>
      <c r="AM59" t="n">
        <v>0.4014929481</v>
      </c>
      <c r="AN59" t="n">
        <v>0.3459754479</v>
      </c>
      <c r="AO59" t="n">
        <v>0.272096956</v>
      </c>
      <c r="AP59" t="n">
        <v>0.1791844515</v>
      </c>
    </row>
    <row r="60">
      <c r="B60" t="n">
        <v>655</v>
      </c>
      <c r="C60" t="n">
        <v>0.08914824095</v>
      </c>
      <c r="D60" t="n">
        <v>0.07113371403</v>
      </c>
      <c r="E60" t="n">
        <v>0.07692296047</v>
      </c>
      <c r="F60" t="n">
        <v>0.1406285013</v>
      </c>
      <c r="G60" t="n">
        <v>0.158608693</v>
      </c>
      <c r="H60" t="n">
        <v>0.2942410337</v>
      </c>
      <c r="I60" t="n">
        <v>0.3689296161</v>
      </c>
      <c r="J60" t="n">
        <v>0.3821710517</v>
      </c>
      <c r="K60" t="n">
        <v>0.3334789072</v>
      </c>
      <c r="L60" t="n">
        <v>0.2579035014</v>
      </c>
      <c r="M60" t="n">
        <v>0.1020452499</v>
      </c>
      <c r="N60" t="n">
        <v>0.06788207981</v>
      </c>
      <c r="O60" t="n">
        <v>0.07252306605</v>
      </c>
      <c r="P60" t="n">
        <v>0.1257256224</v>
      </c>
      <c r="Q60" t="n">
        <v>0.1774509021</v>
      </c>
      <c r="R60" t="n">
        <v>0.3350727415</v>
      </c>
      <c r="S60" t="n">
        <v>0.3871436364</v>
      </c>
      <c r="T60" t="n">
        <v>0.3672951951</v>
      </c>
      <c r="U60" t="n">
        <v>0.3234724466</v>
      </c>
      <c r="V60" t="n">
        <v>0.2446396696</v>
      </c>
      <c r="W60" t="n">
        <v>0.1122467962</v>
      </c>
      <c r="X60" t="n">
        <v>0.07190650023</v>
      </c>
      <c r="Y60" t="n">
        <v>0.07281306781999999</v>
      </c>
      <c r="Z60" t="n">
        <v>0.1060619628</v>
      </c>
      <c r="AA60" t="n">
        <v>0.2087195232</v>
      </c>
      <c r="AB60" t="n">
        <v>0.3447252983</v>
      </c>
      <c r="AC60" t="n">
        <v>0.4070686898</v>
      </c>
      <c r="AD60" t="n">
        <v>0.3600877046</v>
      </c>
      <c r="AE60" t="n">
        <v>0.3034664005</v>
      </c>
      <c r="AF60" t="n">
        <v>0.2299703287</v>
      </c>
      <c r="AG60" t="n">
        <v>0.1277980757</v>
      </c>
      <c r="AH60" t="n">
        <v>0.07843862936</v>
      </c>
      <c r="AI60" t="n">
        <v>0.07171875915000001</v>
      </c>
      <c r="AJ60" t="n">
        <v>0.09407779233999999</v>
      </c>
      <c r="AK60" t="n">
        <v>0.2473389615</v>
      </c>
      <c r="AL60" t="n">
        <v>0.3315445842</v>
      </c>
      <c r="AM60" t="n">
        <v>0.4019093246</v>
      </c>
      <c r="AN60" t="n">
        <v>0.3449808456</v>
      </c>
      <c r="AO60" t="n">
        <v>0.2722084707</v>
      </c>
      <c r="AP60" t="n">
        <v>0.1776902652</v>
      </c>
    </row>
    <row r="61">
      <c r="B61" t="n">
        <v>660</v>
      </c>
      <c r="C61" t="n">
        <v>0.09012552145</v>
      </c>
      <c r="D61" t="n">
        <v>0.07147483502</v>
      </c>
      <c r="E61" t="n">
        <v>0.07554677516</v>
      </c>
      <c r="F61" t="n">
        <v>0.1389535555</v>
      </c>
      <c r="G61" t="n">
        <v>0.1610468396</v>
      </c>
      <c r="H61" t="n">
        <v>0.3119289526</v>
      </c>
      <c r="I61" t="n">
        <v>0.3695446111</v>
      </c>
      <c r="J61" t="n">
        <v>0.3820729927</v>
      </c>
      <c r="K61" t="n">
        <v>0.3321830572</v>
      </c>
      <c r="L61" t="n">
        <v>0.257108338</v>
      </c>
      <c r="M61" t="n">
        <v>0.1035124906</v>
      </c>
      <c r="N61" t="n">
        <v>0.06882843757</v>
      </c>
      <c r="O61" t="n">
        <v>0.07130481448000001</v>
      </c>
      <c r="P61" t="n">
        <v>0.1238921424</v>
      </c>
      <c r="Q61" t="n">
        <v>0.1818676687</v>
      </c>
      <c r="R61" t="n">
        <v>0.3446105377</v>
      </c>
      <c r="S61" t="n">
        <v>0.3888775008</v>
      </c>
      <c r="T61" t="n">
        <v>0.3675740943</v>
      </c>
      <c r="U61" t="n">
        <v>0.3242984038</v>
      </c>
      <c r="V61" t="n">
        <v>0.2439535853</v>
      </c>
      <c r="W61" t="n">
        <v>0.1138983469</v>
      </c>
      <c r="X61" t="n">
        <v>0.07243315507</v>
      </c>
      <c r="Y61" t="n">
        <v>0.07272408094</v>
      </c>
      <c r="Z61" t="n">
        <v>0.1046636732</v>
      </c>
      <c r="AA61" t="n">
        <v>0.2166078789</v>
      </c>
      <c r="AB61" t="n">
        <v>0.3459428302</v>
      </c>
      <c r="AC61" t="n">
        <v>0.4064953087</v>
      </c>
      <c r="AD61" t="n">
        <v>0.3601171306</v>
      </c>
      <c r="AE61" t="n">
        <v>0.3048607877</v>
      </c>
      <c r="AF61" t="n">
        <v>0.2300191747</v>
      </c>
      <c r="AG61" t="n">
        <v>0.1295115928</v>
      </c>
      <c r="AH61" t="n">
        <v>0.07895532652999999</v>
      </c>
      <c r="AI61" t="n">
        <v>0.07217790886</v>
      </c>
      <c r="AJ61" t="n">
        <v>0.09296852376</v>
      </c>
      <c r="AK61" t="n">
        <v>0.2635942341</v>
      </c>
      <c r="AL61" t="n">
        <v>0.3314442489</v>
      </c>
      <c r="AM61" t="n">
        <v>0.4003357803</v>
      </c>
      <c r="AN61" t="n">
        <v>0.3435565531</v>
      </c>
      <c r="AO61" t="n">
        <v>0.2714175237</v>
      </c>
      <c r="AP61" t="n">
        <v>0.1762547561</v>
      </c>
    </row>
    <row r="62">
      <c r="B62" t="n">
        <v>665</v>
      </c>
      <c r="C62" t="n">
        <v>0.09113641699</v>
      </c>
      <c r="D62" t="n">
        <v>0.07330909574</v>
      </c>
      <c r="E62" t="n">
        <v>0.07428564453</v>
      </c>
      <c r="F62" t="n">
        <v>0.1383972691</v>
      </c>
      <c r="G62" t="n">
        <v>0.1618732821</v>
      </c>
      <c r="H62" t="n">
        <v>0.3243094939</v>
      </c>
      <c r="I62" t="n">
        <v>0.3694904188</v>
      </c>
      <c r="J62" t="n">
        <v>0.3822841927</v>
      </c>
      <c r="K62" t="n">
        <v>0.3311806086</v>
      </c>
      <c r="L62" t="n">
        <v>0.2572167794</v>
      </c>
      <c r="M62" t="n">
        <v>0.1045430518</v>
      </c>
      <c r="N62" t="n">
        <v>0.07008788807999999</v>
      </c>
      <c r="O62" t="n">
        <v>0.07057848318</v>
      </c>
      <c r="P62" t="n">
        <v>0.122643436</v>
      </c>
      <c r="Q62" t="n">
        <v>0.183637067</v>
      </c>
      <c r="R62" t="n">
        <v>0.3507536075</v>
      </c>
      <c r="S62" t="n">
        <v>0.390040603</v>
      </c>
      <c r="T62" t="n">
        <v>0.3675633748</v>
      </c>
      <c r="U62" t="n">
        <v>0.3234776501</v>
      </c>
      <c r="V62" t="n">
        <v>0.2438979626</v>
      </c>
      <c r="W62" t="n">
        <v>0.1147544945</v>
      </c>
      <c r="X62" t="n">
        <v>0.07414955819999999</v>
      </c>
      <c r="Y62" t="n">
        <v>0.07365263284</v>
      </c>
      <c r="Z62" t="n">
        <v>0.1036471763</v>
      </c>
      <c r="AA62" t="n">
        <v>0.2216861963</v>
      </c>
      <c r="AB62" t="n">
        <v>0.3461445805</v>
      </c>
      <c r="AC62" t="n">
        <v>0.4060685928</v>
      </c>
      <c r="AD62" t="n">
        <v>0.360213708</v>
      </c>
      <c r="AE62" t="n">
        <v>0.3055548956</v>
      </c>
      <c r="AF62" t="n">
        <v>0.230886495</v>
      </c>
      <c r="AG62" t="n">
        <v>0.1302317935</v>
      </c>
      <c r="AH62" t="n">
        <v>0.08017315748999999</v>
      </c>
      <c r="AI62" t="n">
        <v>0.07365623215</v>
      </c>
      <c r="AJ62" t="n">
        <v>0.09211151987000001</v>
      </c>
      <c r="AK62" t="n">
        <v>0.277631357</v>
      </c>
      <c r="AL62" t="n">
        <v>0.3305345816</v>
      </c>
      <c r="AM62" t="n">
        <v>0.4008767142</v>
      </c>
      <c r="AN62" t="n">
        <v>0.3433288666</v>
      </c>
      <c r="AO62" t="n">
        <v>0.2717616273</v>
      </c>
      <c r="AP62" t="n">
        <v>0.1755939976</v>
      </c>
    </row>
    <row r="63">
      <c r="B63" t="n">
        <v>670</v>
      </c>
      <c r="C63" t="n">
        <v>0.09167975371000001</v>
      </c>
      <c r="D63" t="n">
        <v>0.07447604664</v>
      </c>
      <c r="E63" t="n">
        <v>0.07345376641</v>
      </c>
      <c r="F63" t="n">
        <v>0.1383218833</v>
      </c>
      <c r="G63" t="n">
        <v>0.160281173</v>
      </c>
      <c r="H63" t="n">
        <v>0.3360715382</v>
      </c>
      <c r="I63" t="n">
        <v>0.3697259918</v>
      </c>
      <c r="J63" t="n">
        <v>0.3825002552</v>
      </c>
      <c r="K63" t="n">
        <v>0.332820652</v>
      </c>
      <c r="L63" t="n">
        <v>0.2560888687</v>
      </c>
      <c r="M63" t="n">
        <v>0.1051261742</v>
      </c>
      <c r="N63" t="n">
        <v>0.0717100219</v>
      </c>
      <c r="O63" t="n">
        <v>0.07002574961999999</v>
      </c>
      <c r="P63" t="n">
        <v>0.1220231546</v>
      </c>
      <c r="Q63" t="n">
        <v>0.1839867642</v>
      </c>
      <c r="R63" t="n">
        <v>0.3546452964</v>
      </c>
      <c r="S63" t="n">
        <v>0.3930263153</v>
      </c>
      <c r="T63" t="n">
        <v>0.3677274798</v>
      </c>
      <c r="U63" t="n">
        <v>0.3242405681</v>
      </c>
      <c r="V63" t="n">
        <v>0.2432002547</v>
      </c>
      <c r="W63" t="n">
        <v>0.1147553205</v>
      </c>
      <c r="X63" t="n">
        <v>0.07490598499999999</v>
      </c>
      <c r="Y63" t="n">
        <v>0.07496374448</v>
      </c>
      <c r="Z63" t="n">
        <v>0.1030304498</v>
      </c>
      <c r="AA63" t="n">
        <v>0.2244595918</v>
      </c>
      <c r="AB63" t="n">
        <v>0.3450411549</v>
      </c>
      <c r="AC63" t="n">
        <v>0.4066637967</v>
      </c>
      <c r="AD63" t="n">
        <v>0.3598469348</v>
      </c>
      <c r="AE63" t="n">
        <v>0.3052013669</v>
      </c>
      <c r="AF63" t="n">
        <v>0.2309848677</v>
      </c>
      <c r="AG63" t="n">
        <v>0.1296455635</v>
      </c>
      <c r="AH63" t="n">
        <v>0.08134438787000001</v>
      </c>
      <c r="AI63" t="n">
        <v>0.07591905312</v>
      </c>
      <c r="AJ63" t="n">
        <v>0.09151873354999999</v>
      </c>
      <c r="AK63" t="n">
        <v>0.2902500924</v>
      </c>
      <c r="AL63" t="n">
        <v>0.3304964407</v>
      </c>
      <c r="AM63" t="n">
        <v>0.4005615684</v>
      </c>
      <c r="AN63" t="n">
        <v>0.3440386911</v>
      </c>
      <c r="AO63" t="n">
        <v>0.2701620157</v>
      </c>
      <c r="AP63" t="n">
        <v>0.1762261481</v>
      </c>
    </row>
    <row r="64">
      <c r="B64" t="n">
        <v>675</v>
      </c>
      <c r="C64" t="n">
        <v>0.09136783817999999</v>
      </c>
      <c r="D64" t="n">
        <v>0.07731506002000001</v>
      </c>
      <c r="E64" t="n">
        <v>0.07265424215000001</v>
      </c>
      <c r="F64" t="n">
        <v>0.1390257763</v>
      </c>
      <c r="G64" t="n">
        <v>0.1570709259</v>
      </c>
      <c r="H64" t="n">
        <v>0.3459380619</v>
      </c>
      <c r="I64" t="n">
        <v>0.3699671322</v>
      </c>
      <c r="J64" t="n">
        <v>0.3813623236</v>
      </c>
      <c r="K64" t="n">
        <v>0.3335437972</v>
      </c>
      <c r="L64" t="n">
        <v>0.2560370574</v>
      </c>
      <c r="M64" t="n">
        <v>0.1043955436</v>
      </c>
      <c r="N64" t="n">
        <v>0.07347253167999999</v>
      </c>
      <c r="O64" t="n">
        <v>0.06987039197</v>
      </c>
      <c r="P64" t="n">
        <v>0.1226092657</v>
      </c>
      <c r="Q64" t="n">
        <v>0.1807662825</v>
      </c>
      <c r="R64" t="n">
        <v>0.3600047938</v>
      </c>
      <c r="S64" t="n">
        <v>0.3928343553</v>
      </c>
      <c r="T64" t="n">
        <v>0.3663282945</v>
      </c>
      <c r="U64" t="n">
        <v>0.3239157456</v>
      </c>
      <c r="V64" t="n">
        <v>0.243110764</v>
      </c>
      <c r="W64" t="n">
        <v>0.1140206775</v>
      </c>
      <c r="X64" t="n">
        <v>0.07600806438</v>
      </c>
      <c r="Y64" t="n">
        <v>0.07608345375</v>
      </c>
      <c r="Z64" t="n">
        <v>0.1032819352</v>
      </c>
      <c r="AA64" t="n">
        <v>0.2236597766</v>
      </c>
      <c r="AB64" t="n">
        <v>0.3441303889</v>
      </c>
      <c r="AC64" t="n">
        <v>0.4063230872</v>
      </c>
      <c r="AD64" t="n">
        <v>0.3585168835</v>
      </c>
      <c r="AE64" t="n">
        <v>0.3067225633</v>
      </c>
      <c r="AF64" t="n">
        <v>0.2314064308</v>
      </c>
      <c r="AG64" t="n">
        <v>0.1288877641</v>
      </c>
      <c r="AH64" t="n">
        <v>0.08176925408999999</v>
      </c>
      <c r="AI64" t="n">
        <v>0.07754204762</v>
      </c>
      <c r="AJ64" t="n">
        <v>0.09155819948</v>
      </c>
      <c r="AK64" t="n">
        <v>0.3000912544</v>
      </c>
      <c r="AL64" t="n">
        <v>0.3298093165</v>
      </c>
      <c r="AM64" t="n">
        <v>0.4002182968</v>
      </c>
      <c r="AN64" t="n">
        <v>0.3446344265</v>
      </c>
      <c r="AO64" t="n">
        <v>0.2702514728</v>
      </c>
      <c r="AP64" t="n">
        <v>0.1759835459</v>
      </c>
    </row>
    <row r="65">
      <c r="B65" t="n">
        <v>680</v>
      </c>
      <c r="C65" t="n">
        <v>0.09116673748</v>
      </c>
      <c r="D65" t="n">
        <v>0.07900310833</v>
      </c>
      <c r="E65" t="n">
        <v>0.07282259523</v>
      </c>
      <c r="F65" t="n">
        <v>0.1406051137</v>
      </c>
      <c r="G65" t="n">
        <v>0.1531424342</v>
      </c>
      <c r="H65" t="n">
        <v>0.3541002603</v>
      </c>
      <c r="I65" t="n">
        <v>0.3690769159</v>
      </c>
      <c r="J65" t="n">
        <v>0.3817617269</v>
      </c>
      <c r="K65" t="n">
        <v>0.3349657273</v>
      </c>
      <c r="L65" t="n">
        <v>0.2552062516</v>
      </c>
      <c r="M65" t="n">
        <v>0.1035945983</v>
      </c>
      <c r="N65" t="n">
        <v>0.07564217734000001</v>
      </c>
      <c r="O65" t="n">
        <v>0.07025913442999999</v>
      </c>
      <c r="P65" t="n">
        <v>0.1231759941</v>
      </c>
      <c r="Q65" t="n">
        <v>0.1774781116</v>
      </c>
      <c r="R65" t="n">
        <v>0.3626234135</v>
      </c>
      <c r="S65" t="n">
        <v>0.3937840826</v>
      </c>
      <c r="T65" t="n">
        <v>0.3665113688</v>
      </c>
      <c r="U65" t="n">
        <v>0.3247500139</v>
      </c>
      <c r="V65" t="n">
        <v>0.2423455808</v>
      </c>
      <c r="W65" t="n">
        <v>0.112883103</v>
      </c>
      <c r="X65" t="n">
        <v>0.07802234504</v>
      </c>
      <c r="Y65" t="n">
        <v>0.07898719715999999</v>
      </c>
      <c r="Z65" t="n">
        <v>0.1036063437</v>
      </c>
      <c r="AA65" t="n">
        <v>0.2219662284</v>
      </c>
      <c r="AB65" t="n">
        <v>0.3452697248</v>
      </c>
      <c r="AC65" t="n">
        <v>0.4064429311</v>
      </c>
      <c r="AD65" t="n">
        <v>0.3586230818</v>
      </c>
      <c r="AE65" t="n">
        <v>0.3071674251</v>
      </c>
      <c r="AF65" t="n">
        <v>0.2319464176</v>
      </c>
      <c r="AG65" t="n">
        <v>0.1269782429</v>
      </c>
      <c r="AH65" t="n">
        <v>0.08227687445</v>
      </c>
      <c r="AI65" t="n">
        <v>0.07985311409</v>
      </c>
      <c r="AJ65" t="n">
        <v>0.09173890434</v>
      </c>
      <c r="AK65" t="n">
        <v>0.3060395445</v>
      </c>
      <c r="AL65" t="n">
        <v>0.3302815623</v>
      </c>
      <c r="AM65" t="n">
        <v>0.4005835236</v>
      </c>
      <c r="AN65" t="n">
        <v>0.3456090001</v>
      </c>
      <c r="AO65" t="n">
        <v>0.2694236353</v>
      </c>
      <c r="AP65" t="n">
        <v>0.1769348481</v>
      </c>
    </row>
    <row r="66">
      <c r="B66" t="n">
        <v>685</v>
      </c>
      <c r="C66" t="n">
        <v>0.0899504534</v>
      </c>
      <c r="D66" t="n">
        <v>0.0818301812</v>
      </c>
      <c r="E66" t="n">
        <v>0.07304385306</v>
      </c>
      <c r="F66" t="n">
        <v>0.1432169468</v>
      </c>
      <c r="G66" t="n">
        <v>0.1491271196</v>
      </c>
      <c r="H66" t="n">
        <v>0.3592607182</v>
      </c>
      <c r="I66" t="n">
        <v>0.3696867576</v>
      </c>
      <c r="J66" t="n">
        <v>0.3818469484</v>
      </c>
      <c r="K66" t="n">
        <v>0.335933201</v>
      </c>
      <c r="L66" t="n">
        <v>0.2551942203</v>
      </c>
      <c r="M66" t="n">
        <v>0.1023804114</v>
      </c>
      <c r="N66" t="n">
        <v>0.07801296498</v>
      </c>
      <c r="O66" t="n">
        <v>0.07044023507</v>
      </c>
      <c r="P66" t="n">
        <v>0.1241664282</v>
      </c>
      <c r="Q66" t="n">
        <v>0.1731140262</v>
      </c>
      <c r="R66" t="n">
        <v>0.3646919063</v>
      </c>
      <c r="S66" t="n">
        <v>0.3947501762</v>
      </c>
      <c r="T66" t="n">
        <v>0.3666424636</v>
      </c>
      <c r="U66" t="n">
        <v>0.3244161497</v>
      </c>
      <c r="V66" t="n">
        <v>0.2424807718</v>
      </c>
      <c r="W66" t="n">
        <v>0.1116679161</v>
      </c>
      <c r="X66" t="n">
        <v>0.0791108516</v>
      </c>
      <c r="Y66" t="n">
        <v>0.08073055248</v>
      </c>
      <c r="Z66" t="n">
        <v>0.1042484365</v>
      </c>
      <c r="AA66" t="n">
        <v>0.2193363838</v>
      </c>
      <c r="AB66" t="n">
        <v>0.3450441578</v>
      </c>
      <c r="AC66" t="n">
        <v>0.4052601923</v>
      </c>
      <c r="AD66" t="n">
        <v>0.3587228655</v>
      </c>
      <c r="AE66" t="n">
        <v>0.3080482114</v>
      </c>
      <c r="AF66" t="n">
        <v>0.2320568492</v>
      </c>
      <c r="AG66" t="n">
        <v>0.1251924563</v>
      </c>
      <c r="AH66" t="n">
        <v>0.08232879988</v>
      </c>
      <c r="AI66" t="n">
        <v>0.08264578687</v>
      </c>
      <c r="AJ66" t="n">
        <v>0.09216151249</v>
      </c>
      <c r="AK66" t="n">
        <v>0.3106474141</v>
      </c>
      <c r="AL66" t="n">
        <v>0.3291321905</v>
      </c>
      <c r="AM66" t="n">
        <v>0.4003251444</v>
      </c>
      <c r="AN66" t="n">
        <v>0.3469393646</v>
      </c>
      <c r="AO66" t="n">
        <v>0.2692857453</v>
      </c>
      <c r="AP66" t="n">
        <v>0.1781279086</v>
      </c>
    </row>
    <row r="67">
      <c r="B67" t="n">
        <v>690</v>
      </c>
      <c r="C67" t="n">
        <v>0.08933174404999999</v>
      </c>
      <c r="D67" t="n">
        <v>0.08422630598</v>
      </c>
      <c r="E67" t="n">
        <v>0.07382439568</v>
      </c>
      <c r="F67" t="n">
        <v>0.1457575116</v>
      </c>
      <c r="G67" t="n">
        <v>0.1463508042</v>
      </c>
      <c r="H67" t="n">
        <v>0.3636551694</v>
      </c>
      <c r="I67" t="n">
        <v>0.3682925932</v>
      </c>
      <c r="J67" t="n">
        <v>0.3819826942</v>
      </c>
      <c r="K67" t="n">
        <v>0.3391472095</v>
      </c>
      <c r="L67" t="n">
        <v>0.2557100324</v>
      </c>
      <c r="M67" t="n">
        <v>0.1016408044</v>
      </c>
      <c r="N67" t="n">
        <v>0.08001647702</v>
      </c>
      <c r="O67" t="n">
        <v>0.07126675054000001</v>
      </c>
      <c r="P67" t="n">
        <v>0.125801074</v>
      </c>
      <c r="Q67" t="n">
        <v>0.1705796731</v>
      </c>
      <c r="R67" t="n">
        <v>0.3668126674</v>
      </c>
      <c r="S67" t="n">
        <v>0.3980444425</v>
      </c>
      <c r="T67" t="n">
        <v>0.3662947255</v>
      </c>
      <c r="U67" t="n">
        <v>0.3245594412</v>
      </c>
      <c r="V67" t="n">
        <v>0.2429471867</v>
      </c>
      <c r="W67" t="n">
        <v>0.1105981816</v>
      </c>
      <c r="X67" t="n">
        <v>0.08067270042999999</v>
      </c>
      <c r="Y67" t="n">
        <v>0.08216704748000001</v>
      </c>
      <c r="Z67" t="n">
        <v>0.1054150477</v>
      </c>
      <c r="AA67" t="n">
        <v>0.2164474045</v>
      </c>
      <c r="AB67" t="n">
        <v>0.3450820514</v>
      </c>
      <c r="AC67" t="n">
        <v>0.4054671379</v>
      </c>
      <c r="AD67" t="n">
        <v>0.3583804807</v>
      </c>
      <c r="AE67" t="n">
        <v>0.3092271767</v>
      </c>
      <c r="AF67" t="n">
        <v>0.2328295265</v>
      </c>
      <c r="AG67" t="n">
        <v>0.1233505498</v>
      </c>
      <c r="AH67" t="n">
        <v>0.08280311207</v>
      </c>
      <c r="AI67" t="n">
        <v>0.08514544255000001</v>
      </c>
      <c r="AJ67" t="n">
        <v>0.09302401821</v>
      </c>
      <c r="AK67" t="n">
        <v>0.3157613866</v>
      </c>
      <c r="AL67" t="n">
        <v>0.328315093</v>
      </c>
      <c r="AM67" t="n">
        <v>0.4009643788</v>
      </c>
      <c r="AN67" t="n">
        <v>0.3499300843</v>
      </c>
      <c r="AO67" t="n">
        <v>0.2698979048</v>
      </c>
      <c r="AP67" t="n">
        <v>0.1801680432</v>
      </c>
    </row>
    <row r="68">
      <c r="B68" t="n">
        <v>695</v>
      </c>
      <c r="C68" t="n">
        <v>0.08768620471999999</v>
      </c>
      <c r="D68" t="n">
        <v>0.08629888594</v>
      </c>
      <c r="E68" t="n">
        <v>0.07445205097</v>
      </c>
      <c r="F68" t="n">
        <v>0.1496458242</v>
      </c>
      <c r="G68" t="n">
        <v>0.1445311937</v>
      </c>
      <c r="H68" t="n">
        <v>0.3638739031</v>
      </c>
      <c r="I68" t="n">
        <v>0.3688536377</v>
      </c>
      <c r="J68" t="n">
        <v>0.3815377231</v>
      </c>
      <c r="K68" t="n">
        <v>0.3424559284</v>
      </c>
      <c r="L68" t="n">
        <v>0.2552653475</v>
      </c>
      <c r="M68" t="n">
        <v>0.09981865006</v>
      </c>
      <c r="N68" t="n">
        <v>0.08153733488000001</v>
      </c>
      <c r="O68" t="n">
        <v>0.07237739452</v>
      </c>
      <c r="P68" t="n">
        <v>0.1285606545</v>
      </c>
      <c r="Q68" t="n">
        <v>0.1690608833</v>
      </c>
      <c r="R68" t="n">
        <v>0.3667142739</v>
      </c>
      <c r="S68" t="n">
        <v>0.3981433095</v>
      </c>
      <c r="T68" t="n">
        <v>0.3665206404</v>
      </c>
      <c r="U68" t="n">
        <v>0.3247127543</v>
      </c>
      <c r="V68" t="n">
        <v>0.2424843318</v>
      </c>
      <c r="W68" t="n">
        <v>0.1086396861</v>
      </c>
      <c r="X68" t="n">
        <v>0.08105497041</v>
      </c>
      <c r="Y68" t="n">
        <v>0.08503319620999999</v>
      </c>
      <c r="Z68" t="n">
        <v>0.1073569539</v>
      </c>
      <c r="AA68" t="n">
        <v>0.2163463102</v>
      </c>
      <c r="AB68" t="n">
        <v>0.3440571239</v>
      </c>
      <c r="AC68" t="n">
        <v>0.4054041423</v>
      </c>
      <c r="AD68" t="n">
        <v>0.3585211858</v>
      </c>
      <c r="AE68" t="n">
        <v>0.309186691</v>
      </c>
      <c r="AF68" t="n">
        <v>0.2327724909</v>
      </c>
      <c r="AG68" t="n">
        <v>0.121687163</v>
      </c>
      <c r="AH68" t="n">
        <v>0.08104503246</v>
      </c>
      <c r="AI68" t="n">
        <v>0.08725481315</v>
      </c>
      <c r="AJ68" t="n">
        <v>0.09442273457</v>
      </c>
      <c r="AK68" t="n">
        <v>0.3187305412</v>
      </c>
      <c r="AL68" t="n">
        <v>0.328062195</v>
      </c>
      <c r="AM68" t="n">
        <v>0.3995574482</v>
      </c>
      <c r="AN68" t="n">
        <v>0.3529565958</v>
      </c>
      <c r="AO68" t="n">
        <v>0.2695031417</v>
      </c>
      <c r="AP68" t="n">
        <v>0.182238159</v>
      </c>
    </row>
    <row r="69">
      <c r="B69" t="n">
        <v>700</v>
      </c>
      <c r="C69" t="n">
        <v>0.08664659439</v>
      </c>
      <c r="D69" t="n">
        <v>0.08875103187</v>
      </c>
      <c r="E69" t="n">
        <v>0.07590166799</v>
      </c>
      <c r="F69" t="n">
        <v>0.1536619832</v>
      </c>
      <c r="G69" t="n">
        <v>0.1444470494</v>
      </c>
      <c r="H69" t="n">
        <v>0.3641692742</v>
      </c>
      <c r="I69" t="n">
        <v>0.3689982199</v>
      </c>
      <c r="J69" t="n">
        <v>0.3811835411</v>
      </c>
      <c r="K69" t="n">
        <v>0.3464907271</v>
      </c>
      <c r="L69" t="n">
        <v>0.2542534477</v>
      </c>
      <c r="M69" t="n">
        <v>0.09796958735</v>
      </c>
      <c r="N69" t="n">
        <v>0.08409723803999999</v>
      </c>
      <c r="O69" t="n">
        <v>0.07368058907</v>
      </c>
      <c r="P69" t="n">
        <v>0.1315382992</v>
      </c>
      <c r="Q69" t="n">
        <v>0.1690405325</v>
      </c>
      <c r="R69" t="n">
        <v>0.3667999247</v>
      </c>
      <c r="S69" t="n">
        <v>0.3980668984</v>
      </c>
      <c r="T69" t="n">
        <v>0.3659723794</v>
      </c>
      <c r="U69" t="n">
        <v>0.32537664</v>
      </c>
      <c r="V69" t="n">
        <v>0.2412445695</v>
      </c>
      <c r="W69" t="n">
        <v>0.1066602786</v>
      </c>
      <c r="X69" t="n">
        <v>0.08173629463</v>
      </c>
      <c r="Y69" t="n">
        <v>0.08592070215</v>
      </c>
      <c r="Z69" t="n">
        <v>0.109220337</v>
      </c>
      <c r="AA69" t="n">
        <v>0.2160277143</v>
      </c>
      <c r="AB69" t="n">
        <v>0.3449650048</v>
      </c>
      <c r="AC69" t="n">
        <v>0.4048562691</v>
      </c>
      <c r="AD69" t="n">
        <v>0.3581029683</v>
      </c>
      <c r="AE69" t="n">
        <v>0.3091180897</v>
      </c>
      <c r="AF69" t="n">
        <v>0.2326153918</v>
      </c>
      <c r="AG69" t="n">
        <v>0.1202477732</v>
      </c>
      <c r="AH69" t="n">
        <v>0.08117867141</v>
      </c>
      <c r="AI69" t="n">
        <v>0.08883539897000001</v>
      </c>
      <c r="AJ69" t="n">
        <v>0.09562129741</v>
      </c>
      <c r="AK69" t="n">
        <v>0.3227164818</v>
      </c>
      <c r="AL69" t="n">
        <v>0.3284677969</v>
      </c>
      <c r="AM69" t="n">
        <v>0.3994297934</v>
      </c>
      <c r="AN69" t="n">
        <v>0.3561586325</v>
      </c>
      <c r="AO69" t="n">
        <v>0.2688342315</v>
      </c>
      <c r="AP69" t="n">
        <v>0.1841822904</v>
      </c>
    </row>
    <row r="70">
      <c r="B70" t="n">
        <v>705</v>
      </c>
      <c r="C70" t="n">
        <v>0.08466538406</v>
      </c>
      <c r="D70" t="n">
        <v>0.08904543954999999</v>
      </c>
      <c r="E70" t="n">
        <v>0.07778533906</v>
      </c>
      <c r="F70" t="n">
        <v>0.1580818545</v>
      </c>
      <c r="G70" t="n">
        <v>0.1450797386</v>
      </c>
      <c r="H70" t="n">
        <v>0.3645243515</v>
      </c>
      <c r="I70" t="n">
        <v>0.3680422136</v>
      </c>
      <c r="J70" t="n">
        <v>0.381465847</v>
      </c>
      <c r="K70" t="n">
        <v>0.3463450852</v>
      </c>
      <c r="L70" t="n">
        <v>0.2546136217</v>
      </c>
      <c r="M70" t="n">
        <v>0.09660415192000001</v>
      </c>
      <c r="N70" t="n">
        <v>0.08381877473</v>
      </c>
      <c r="O70" t="n">
        <v>0.07557335816999999</v>
      </c>
      <c r="P70" t="n">
        <v>0.1336215817</v>
      </c>
      <c r="Q70" t="n">
        <v>0.1695557989</v>
      </c>
      <c r="R70" t="n">
        <v>0.3665870844</v>
      </c>
      <c r="S70" t="n">
        <v>0.3980820853</v>
      </c>
      <c r="T70" t="n">
        <v>0.3658150034</v>
      </c>
      <c r="U70" t="n">
        <v>0.3249364195</v>
      </c>
      <c r="V70" t="n">
        <v>0.242057223</v>
      </c>
      <c r="W70" t="n">
        <v>0.1052795196</v>
      </c>
      <c r="X70" t="n">
        <v>0.0811012983</v>
      </c>
      <c r="Y70" t="n">
        <v>0.08821703247</v>
      </c>
      <c r="Z70" t="n">
        <v>0.1111262443</v>
      </c>
      <c r="AA70" t="n">
        <v>0.2184448608</v>
      </c>
      <c r="AB70" t="n">
        <v>0.3427606898</v>
      </c>
      <c r="AC70" t="n">
        <v>0.4051781036</v>
      </c>
      <c r="AD70" t="n">
        <v>0.35782269</v>
      </c>
      <c r="AE70" t="n">
        <v>0.3090957294</v>
      </c>
      <c r="AF70" t="n">
        <v>0.2327256908</v>
      </c>
      <c r="AG70" t="n">
        <v>0.1188308916</v>
      </c>
      <c r="AH70" t="n">
        <v>0.08014518324</v>
      </c>
      <c r="AI70" t="n">
        <v>0.090033897</v>
      </c>
      <c r="AJ70" t="n">
        <v>0.09734494905</v>
      </c>
      <c r="AK70" t="n">
        <v>0.3276679616</v>
      </c>
      <c r="AL70" t="n">
        <v>0.327591668</v>
      </c>
      <c r="AM70" t="n">
        <v>0.4002264979</v>
      </c>
      <c r="AN70" t="n">
        <v>0.3561163872</v>
      </c>
      <c r="AO70" t="n">
        <v>0.2686162033</v>
      </c>
      <c r="AP70" t="n">
        <v>0.1859427759</v>
      </c>
    </row>
    <row r="71">
      <c r="B71" t="n">
        <v>710</v>
      </c>
      <c r="C71" t="n">
        <v>0.08408418267999999</v>
      </c>
      <c r="D71" t="n">
        <v>0.09001575716</v>
      </c>
      <c r="E71" t="n">
        <v>0.07925906809</v>
      </c>
      <c r="F71" t="n">
        <v>0.1601099468</v>
      </c>
      <c r="G71" t="n">
        <v>0.1464508749</v>
      </c>
      <c r="H71" t="n">
        <v>0.3648162257</v>
      </c>
      <c r="I71" t="n">
        <v>0.3687122865</v>
      </c>
      <c r="J71" t="n">
        <v>0.3815206848</v>
      </c>
      <c r="K71" t="n">
        <v>0.3462750074</v>
      </c>
      <c r="L71" t="n">
        <v>0.2544828832</v>
      </c>
      <c r="M71" t="n">
        <v>0.09600592853000001</v>
      </c>
      <c r="N71" t="n">
        <v>0.08370749559</v>
      </c>
      <c r="O71" t="n">
        <v>0.07644201186000001</v>
      </c>
      <c r="P71" t="n">
        <v>0.1359226864</v>
      </c>
      <c r="Q71" t="n">
        <v>0.1713032142</v>
      </c>
      <c r="R71" t="n">
        <v>0.3666352686</v>
      </c>
      <c r="S71" t="n">
        <v>0.3980972722</v>
      </c>
      <c r="T71" t="n">
        <v>0.3658200243</v>
      </c>
      <c r="U71" t="n">
        <v>0.3246154996</v>
      </c>
      <c r="V71" t="n">
        <v>0.2415639995</v>
      </c>
      <c r="W71" t="n">
        <v>0.1047466576</v>
      </c>
      <c r="X71" t="n">
        <v>0.08158812732</v>
      </c>
      <c r="Y71" t="n">
        <v>0.08896295731999999</v>
      </c>
      <c r="Z71" t="n">
        <v>0.112581421</v>
      </c>
      <c r="AA71" t="n">
        <v>0.2197378568</v>
      </c>
      <c r="AB71" t="n">
        <v>0.3432276941</v>
      </c>
      <c r="AC71" t="n">
        <v>0.4045171523</v>
      </c>
      <c r="AD71" t="n">
        <v>0.3571198195</v>
      </c>
      <c r="AE71" t="n">
        <v>0.3091288043</v>
      </c>
      <c r="AF71" t="n">
        <v>0.2326566247</v>
      </c>
      <c r="AG71" t="n">
        <v>0.1182796187</v>
      </c>
      <c r="AH71" t="n">
        <v>0.07937809736</v>
      </c>
      <c r="AI71" t="n">
        <v>0.09076437868999999</v>
      </c>
      <c r="AJ71" t="n">
        <v>0.09830303455</v>
      </c>
      <c r="AK71" t="n">
        <v>0.3316892245</v>
      </c>
      <c r="AL71" t="n">
        <v>0.3277235461</v>
      </c>
      <c r="AM71" t="n">
        <v>0.3992130694</v>
      </c>
      <c r="AN71" t="n">
        <v>0.3557091029</v>
      </c>
      <c r="AO71" t="n">
        <v>0.2689387063</v>
      </c>
      <c r="AP71" t="n">
        <v>0.1886280813</v>
      </c>
    </row>
    <row r="72">
      <c r="B72" t="n">
        <v>715</v>
      </c>
      <c r="C72" t="n">
        <v>0.08411787488</v>
      </c>
      <c r="D72" t="n">
        <v>0.08897115616</v>
      </c>
      <c r="E72" t="n">
        <v>0.08077796592</v>
      </c>
      <c r="F72" t="n">
        <v>0.1622967814</v>
      </c>
      <c r="G72" t="n">
        <v>0.1482487563</v>
      </c>
      <c r="H72" t="n">
        <v>0.3651343835</v>
      </c>
      <c r="I72" t="n">
        <v>0.3689693779</v>
      </c>
      <c r="J72" t="n">
        <v>0.3816179667</v>
      </c>
      <c r="K72" t="n">
        <v>0.3467894832</v>
      </c>
      <c r="L72" t="n">
        <v>0.2547448873</v>
      </c>
      <c r="M72" t="n">
        <v>0.09658733401</v>
      </c>
      <c r="N72" t="n">
        <v>0.08338214771999999</v>
      </c>
      <c r="O72" t="n">
        <v>0.07744739822</v>
      </c>
      <c r="P72" t="n">
        <v>0.1365380323</v>
      </c>
      <c r="Q72" t="n">
        <v>0.173684609</v>
      </c>
      <c r="R72" t="n">
        <v>0.3664649305</v>
      </c>
      <c r="S72" t="n">
        <v>0.3981124591</v>
      </c>
      <c r="T72" t="n">
        <v>0.3656516544</v>
      </c>
      <c r="U72" t="n">
        <v>0.3252174756</v>
      </c>
      <c r="V72" t="n">
        <v>0.2420332304</v>
      </c>
      <c r="W72" t="n">
        <v>0.1055804233</v>
      </c>
      <c r="X72" t="n">
        <v>0.08189515913000001</v>
      </c>
      <c r="Y72" t="n">
        <v>0.08860775523</v>
      </c>
      <c r="Z72" t="n">
        <v>0.1132273942</v>
      </c>
      <c r="AA72" t="n">
        <v>0.2227429667</v>
      </c>
      <c r="AB72" t="n">
        <v>0.3412815293</v>
      </c>
      <c r="AC72" t="n">
        <v>0.4043383153</v>
      </c>
      <c r="AD72" t="n">
        <v>0.3568826212</v>
      </c>
      <c r="AE72" t="n">
        <v>0.3091278912</v>
      </c>
      <c r="AF72" t="n">
        <v>0.2327190067</v>
      </c>
      <c r="AG72" t="n">
        <v>0.1193073808</v>
      </c>
      <c r="AH72" t="n">
        <v>0.08042043980999999</v>
      </c>
      <c r="AI72" t="n">
        <v>0.08975728343</v>
      </c>
      <c r="AJ72" t="n">
        <v>0.09895616686</v>
      </c>
      <c r="AK72" t="n">
        <v>0.336162607</v>
      </c>
      <c r="AL72" t="n">
        <v>0.3263663077</v>
      </c>
      <c r="AM72" t="n">
        <v>0.3993711329</v>
      </c>
      <c r="AN72" t="n">
        <v>0.3557025389</v>
      </c>
      <c r="AO72" t="n">
        <v>0.2689298034</v>
      </c>
      <c r="AP72" t="n">
        <v>0.1894449447</v>
      </c>
    </row>
    <row r="73">
      <c r="B73" t="n">
        <v>720</v>
      </c>
      <c r="C73" t="n">
        <v>0.08539718053000001</v>
      </c>
      <c r="D73" t="n">
        <v>0.08856859858</v>
      </c>
      <c r="E73" t="n">
        <v>0.08176695015</v>
      </c>
      <c r="F73" t="n">
        <v>0.1626519111</v>
      </c>
      <c r="G73" t="n">
        <v>0.1505619284</v>
      </c>
      <c r="H73" t="n">
        <v>0.3655298328</v>
      </c>
      <c r="I73" t="n">
        <v>0.3687616124</v>
      </c>
      <c r="J73" t="n">
        <v>0.382103132</v>
      </c>
      <c r="K73" t="n">
        <v>0.3464360688</v>
      </c>
      <c r="L73" t="n">
        <v>0.2549063925</v>
      </c>
      <c r="M73" t="n">
        <v>0.09865134175</v>
      </c>
      <c r="N73" t="n">
        <v>0.08315133352</v>
      </c>
      <c r="O73" t="n">
        <v>0.07843030903000001</v>
      </c>
      <c r="P73" t="n">
        <v>0.1359910745</v>
      </c>
      <c r="Q73" t="n">
        <v>0.1772426171</v>
      </c>
      <c r="R73" t="n">
        <v>0.3665043225</v>
      </c>
      <c r="S73" t="n">
        <v>0.398127646</v>
      </c>
      <c r="T73" t="n">
        <v>0.3657151533</v>
      </c>
      <c r="U73" t="n">
        <v>0.3244492229</v>
      </c>
      <c r="V73" t="n">
        <v>0.2425262472</v>
      </c>
      <c r="W73" t="n">
        <v>0.1070441142</v>
      </c>
      <c r="X73" t="n">
        <v>0.08258484206</v>
      </c>
      <c r="Y73" t="n">
        <v>0.08928862922</v>
      </c>
      <c r="Z73" t="n">
        <v>0.1132560186</v>
      </c>
      <c r="AA73" t="n">
        <v>0.2252006426</v>
      </c>
      <c r="AB73" t="n">
        <v>0.3419499405</v>
      </c>
      <c r="AC73" t="n">
        <v>0.4046693836</v>
      </c>
      <c r="AD73" t="n">
        <v>0.3568300831</v>
      </c>
      <c r="AE73" t="n">
        <v>0.3091017441</v>
      </c>
      <c r="AF73" t="n">
        <v>0.2327872993</v>
      </c>
      <c r="AG73" t="n">
        <v>0.1214560025</v>
      </c>
      <c r="AH73" t="n">
        <v>0.08276213524999999</v>
      </c>
      <c r="AI73" t="n">
        <v>0.08884975576</v>
      </c>
      <c r="AJ73" t="n">
        <v>0.09930052783</v>
      </c>
      <c r="AK73" t="n">
        <v>0.3416444549</v>
      </c>
      <c r="AL73" t="n">
        <v>0.3276598163</v>
      </c>
      <c r="AM73" t="n">
        <v>0.4002932583</v>
      </c>
      <c r="AN73" t="n">
        <v>0.3557685668</v>
      </c>
      <c r="AO73" t="n">
        <v>0.268674851</v>
      </c>
      <c r="AP73" t="n">
        <v>0.1888738301</v>
      </c>
    </row>
    <row r="74">
      <c r="B74" t="n">
        <v>725</v>
      </c>
      <c r="C74" t="n">
        <v>0.087527061</v>
      </c>
      <c r="D74" t="n">
        <v>0.08810150115</v>
      </c>
      <c r="E74" t="n">
        <v>0.08295115687</v>
      </c>
      <c r="F74" t="n">
        <v>0.1628655671</v>
      </c>
      <c r="G74" t="n">
        <v>0.1533524048</v>
      </c>
      <c r="H74" t="n">
        <v>0.3657847771</v>
      </c>
      <c r="I74" t="n">
        <v>0.3684175733</v>
      </c>
      <c r="J74" t="n">
        <v>0.381166656</v>
      </c>
      <c r="K74" t="n">
        <v>0.3466935668</v>
      </c>
      <c r="L74" t="n">
        <v>0.2546540398</v>
      </c>
      <c r="M74" t="n">
        <v>0.1015509596</v>
      </c>
      <c r="N74" t="n">
        <v>0.08464560576999999</v>
      </c>
      <c r="O74" t="n">
        <v>0.07878233753</v>
      </c>
      <c r="P74" t="n">
        <v>0.135914079</v>
      </c>
      <c r="Q74" t="n">
        <v>0.1796821488</v>
      </c>
      <c r="R74" t="n">
        <v>0.3663312973</v>
      </c>
      <c r="S74" t="n">
        <v>0.3981428329</v>
      </c>
      <c r="T74" t="n">
        <v>0.3653331978</v>
      </c>
      <c r="U74" t="n">
        <v>0.3246454811</v>
      </c>
      <c r="V74" t="n">
        <v>0.2419643125</v>
      </c>
      <c r="W74" t="n">
        <v>0.1102708784</v>
      </c>
      <c r="X74" t="n">
        <v>0.08392257676000001</v>
      </c>
      <c r="Y74" t="n">
        <v>0.08883229733</v>
      </c>
      <c r="Z74" t="n">
        <v>0.1130193763</v>
      </c>
      <c r="AA74" t="n">
        <v>0.2297626125</v>
      </c>
      <c r="AB74" t="n">
        <v>0.3400674739</v>
      </c>
      <c r="AC74" t="n">
        <v>0.4036850872</v>
      </c>
      <c r="AD74" t="n">
        <v>0.3572535597</v>
      </c>
      <c r="AE74" t="n">
        <v>0.3091163917</v>
      </c>
      <c r="AF74" t="n">
        <v>0.2327111093</v>
      </c>
      <c r="AG74" t="n">
        <v>0.124571314</v>
      </c>
      <c r="AH74" t="n">
        <v>0.08455155572</v>
      </c>
      <c r="AI74" t="n">
        <v>0.08925281744999999</v>
      </c>
      <c r="AJ74" t="n">
        <v>0.09903162626000001</v>
      </c>
      <c r="AK74" t="n">
        <v>0.3453512392</v>
      </c>
      <c r="AL74" t="n">
        <v>0.3266079733</v>
      </c>
      <c r="AM74" t="n">
        <v>0.3989748499</v>
      </c>
      <c r="AN74" t="n">
        <v>0.3563210818</v>
      </c>
      <c r="AO74" t="n">
        <v>0.2688176748</v>
      </c>
      <c r="AP74" t="n">
        <v>0.1889987045</v>
      </c>
    </row>
    <row r="75">
      <c r="B75" t="n">
        <v>730</v>
      </c>
      <c r="C75" t="n">
        <v>0.09144158635000001</v>
      </c>
      <c r="D75" t="n">
        <v>0.08884098055</v>
      </c>
      <c r="E75" t="n">
        <v>0.08413296709</v>
      </c>
      <c r="F75" t="n">
        <v>0.1631318201</v>
      </c>
      <c r="G75" t="n">
        <v>0.1568929626</v>
      </c>
      <c r="H75" t="n">
        <v>0.3661150837</v>
      </c>
      <c r="I75" t="n">
        <v>0.3687780317</v>
      </c>
      <c r="J75" t="n">
        <v>0.3808986595</v>
      </c>
      <c r="K75" t="n">
        <v>0.3476221368</v>
      </c>
      <c r="L75" t="n">
        <v>0.2556288375</v>
      </c>
      <c r="M75" t="n">
        <v>0.105999984</v>
      </c>
      <c r="N75" t="n">
        <v>0.08615588243</v>
      </c>
      <c r="O75" t="n">
        <v>0.08003922030000001</v>
      </c>
      <c r="P75" t="n">
        <v>0.1362465966</v>
      </c>
      <c r="Q75" t="n">
        <v>0.1834085484</v>
      </c>
      <c r="R75" t="n">
        <v>0.3664405711</v>
      </c>
      <c r="S75" t="n">
        <v>0.3981580197</v>
      </c>
      <c r="T75" t="n">
        <v>0.3649043737</v>
      </c>
      <c r="U75" t="n">
        <v>0.3259012308</v>
      </c>
      <c r="V75" t="n">
        <v>0.2424537971</v>
      </c>
      <c r="W75" t="n">
        <v>0.1147456775</v>
      </c>
      <c r="X75" t="n">
        <v>0.08761605654</v>
      </c>
      <c r="Y75" t="n">
        <v>0.08960782047</v>
      </c>
      <c r="Z75" t="n">
        <v>0.1136048972</v>
      </c>
      <c r="AA75" t="n">
        <v>0.2339060749</v>
      </c>
      <c r="AB75" t="n">
        <v>0.3408621647</v>
      </c>
      <c r="AC75" t="n">
        <v>0.4047458534</v>
      </c>
      <c r="AD75" t="n">
        <v>0.3568376565</v>
      </c>
      <c r="AE75" t="n">
        <v>0.3092713912</v>
      </c>
      <c r="AF75" t="n">
        <v>0.2327592394</v>
      </c>
      <c r="AG75" t="n">
        <v>0.1287125861</v>
      </c>
      <c r="AH75" t="n">
        <v>0.08876292169</v>
      </c>
      <c r="AI75" t="n">
        <v>0.09024747761</v>
      </c>
      <c r="AJ75" t="n">
        <v>0.09973379585</v>
      </c>
      <c r="AK75" t="n">
        <v>0.3500471505</v>
      </c>
      <c r="AL75" t="n">
        <v>0.3254814664</v>
      </c>
      <c r="AM75" t="n">
        <v>0.3997228602</v>
      </c>
      <c r="AN75" t="n">
        <v>0.3562546282</v>
      </c>
      <c r="AO75" t="n">
        <v>0.2703290272</v>
      </c>
      <c r="AP75" t="n">
        <v>0.1899058622</v>
      </c>
    </row>
    <row r="76">
      <c r="B76" t="n">
        <v>735</v>
      </c>
      <c r="C76" t="n">
        <v>0.09781734408999999</v>
      </c>
      <c r="D76" t="n">
        <v>0.09220722063</v>
      </c>
      <c r="E76" t="n">
        <v>0.08588701108000001</v>
      </c>
      <c r="F76" t="n">
        <v>0.1655219521</v>
      </c>
      <c r="G76" t="n">
        <v>0.1633893486</v>
      </c>
      <c r="H76" t="n">
        <v>0.3666660773</v>
      </c>
      <c r="I76" t="n">
        <v>0.3685679076</v>
      </c>
      <c r="J76" t="n">
        <v>0.3807736347</v>
      </c>
      <c r="K76" t="n">
        <v>0.3472764808</v>
      </c>
      <c r="L76" t="n">
        <v>0.255470496</v>
      </c>
      <c r="M76" t="n">
        <v>0.1129150179</v>
      </c>
      <c r="N76" t="n">
        <v>0.08970830238999999</v>
      </c>
      <c r="O76" t="n">
        <v>0.08134236786</v>
      </c>
      <c r="P76" t="n">
        <v>0.1374855051</v>
      </c>
      <c r="Q76" t="n">
        <v>0.1891160444</v>
      </c>
      <c r="R76" t="n">
        <v>0.3663804161</v>
      </c>
      <c r="S76" t="n">
        <v>0.3981732066</v>
      </c>
      <c r="T76" t="n">
        <v>0.3645805739</v>
      </c>
      <c r="U76" t="n">
        <v>0.325145227</v>
      </c>
      <c r="V76" t="n">
        <v>0.2422688134</v>
      </c>
      <c r="W76" t="n">
        <v>0.1209940563</v>
      </c>
      <c r="X76" t="n">
        <v>0.09269932225999999</v>
      </c>
      <c r="Y76" t="n">
        <v>0.09167152914</v>
      </c>
      <c r="Z76" t="n">
        <v>0.1150312634</v>
      </c>
      <c r="AA76" t="n">
        <v>0.2398695051</v>
      </c>
      <c r="AB76" t="n">
        <v>0.3405624723</v>
      </c>
      <c r="AC76" t="n">
        <v>0.4044489527</v>
      </c>
      <c r="AD76" t="n">
        <v>0.3571682232</v>
      </c>
      <c r="AE76" t="n">
        <v>0.3092595279</v>
      </c>
      <c r="AF76" t="n">
        <v>0.2327359765</v>
      </c>
      <c r="AG76" t="n">
        <v>0.1345802374</v>
      </c>
      <c r="AH76" t="n">
        <v>0.09576873641</v>
      </c>
      <c r="AI76" t="n">
        <v>0.09318675377000001</v>
      </c>
      <c r="AJ76" t="n">
        <v>0.1011986192</v>
      </c>
      <c r="AK76" t="n">
        <v>0.3578284673</v>
      </c>
      <c r="AL76" t="n">
        <v>0.3267344256</v>
      </c>
      <c r="AM76" t="n">
        <v>0.4001869814</v>
      </c>
      <c r="AN76" t="n">
        <v>0.3567208381</v>
      </c>
      <c r="AO76" t="n">
        <v>0.2702133515</v>
      </c>
      <c r="AP76" t="n">
        <v>0.1917969837</v>
      </c>
    </row>
    <row r="77">
      <c r="B77" t="n">
        <v>740</v>
      </c>
      <c r="C77" t="n">
        <v>0.1058233467</v>
      </c>
      <c r="D77" t="n">
        <v>0.0961819289</v>
      </c>
      <c r="E77" t="n">
        <v>0.08792500591000001</v>
      </c>
      <c r="F77" t="n">
        <v>0.1680922151</v>
      </c>
      <c r="G77" t="n">
        <v>0.1712460162</v>
      </c>
      <c r="H77" t="n">
        <v>0.3666744437</v>
      </c>
      <c r="I77" t="n">
        <v>0.3686475132</v>
      </c>
      <c r="J77" t="n">
        <v>0.3809779381</v>
      </c>
      <c r="K77" t="n">
        <v>0.3474801979</v>
      </c>
      <c r="L77" t="n">
        <v>0.2548360928</v>
      </c>
      <c r="M77" t="n">
        <v>0.1230082392</v>
      </c>
      <c r="N77" t="n">
        <v>0.09474590807</v>
      </c>
      <c r="O77" t="n">
        <v>0.08328576871</v>
      </c>
      <c r="P77" t="n">
        <v>0.1396013048</v>
      </c>
      <c r="Q77" t="n">
        <v>0.1966946837</v>
      </c>
      <c r="R77" t="n">
        <v>0.3662342362</v>
      </c>
      <c r="S77" t="n">
        <v>0.3981883935</v>
      </c>
      <c r="T77" t="n">
        <v>0.3641803547</v>
      </c>
      <c r="U77" t="n">
        <v>0.3252565757</v>
      </c>
      <c r="V77" t="n">
        <v>0.2426325381</v>
      </c>
      <c r="W77" t="n">
        <v>0.1300179524</v>
      </c>
      <c r="X77" t="n">
        <v>0.09807603459</v>
      </c>
      <c r="Y77" t="n">
        <v>0.096127585</v>
      </c>
      <c r="Z77" t="n">
        <v>0.1168538542</v>
      </c>
      <c r="AA77" t="n">
        <v>0.2474407943</v>
      </c>
      <c r="AB77" t="n">
        <v>0.3388121964</v>
      </c>
      <c r="AC77" t="n">
        <v>0.4037637178</v>
      </c>
      <c r="AD77" t="n">
        <v>0.3562574412</v>
      </c>
      <c r="AE77" t="n">
        <v>0.3090728285</v>
      </c>
      <c r="AF77" t="n">
        <v>0.2328045619</v>
      </c>
      <c r="AG77" t="n">
        <v>0.1440016837</v>
      </c>
      <c r="AH77" t="n">
        <v>0.1048071045</v>
      </c>
      <c r="AI77" t="n">
        <v>0.09664418174</v>
      </c>
      <c r="AJ77" t="n">
        <v>0.1027924022</v>
      </c>
      <c r="AK77" t="n">
        <v>0.3583351683</v>
      </c>
      <c r="AL77" t="n">
        <v>0.3251752424</v>
      </c>
      <c r="AM77" t="n">
        <v>0.4000762822</v>
      </c>
      <c r="AN77" t="n">
        <v>0.3562729711</v>
      </c>
      <c r="AO77" t="n">
        <v>0.2683929038</v>
      </c>
      <c r="AP77" t="n">
        <v>0.1927712054</v>
      </c>
    </row>
    <row r="78">
      <c r="B78" t="n">
        <v>745</v>
      </c>
      <c r="C78" t="n">
        <v>0.1177571894</v>
      </c>
      <c r="D78" t="n">
        <v>0.1014966972</v>
      </c>
      <c r="E78" t="n">
        <v>0.09131934292</v>
      </c>
      <c r="F78" t="n">
        <v>0.1724265436</v>
      </c>
      <c r="G78" t="n">
        <v>0.1803052421</v>
      </c>
      <c r="H78" t="n">
        <v>0.3666828102</v>
      </c>
      <c r="I78" t="n">
        <v>0.3676126414</v>
      </c>
      <c r="J78" t="n">
        <v>0.3815260609</v>
      </c>
      <c r="K78" t="n">
        <v>0.3479912984</v>
      </c>
      <c r="L78" t="n">
        <v>0.2540515508</v>
      </c>
      <c r="M78" t="n">
        <v>0.1372352389</v>
      </c>
      <c r="N78" t="n">
        <v>0.1013886793</v>
      </c>
      <c r="O78" t="n">
        <v>0.08606431167</v>
      </c>
      <c r="P78" t="n">
        <v>0.1428102515</v>
      </c>
      <c r="Q78" t="n">
        <v>0.2066765718</v>
      </c>
      <c r="R78" t="n">
        <v>0.3661627438</v>
      </c>
      <c r="S78" t="n">
        <v>0.3982035804</v>
      </c>
      <c r="T78" t="n">
        <v>0.3648233766</v>
      </c>
      <c r="U78" t="n">
        <v>0.3258532227</v>
      </c>
      <c r="V78" t="n">
        <v>0.2409884738</v>
      </c>
      <c r="W78" t="n">
        <v>0.1447169119</v>
      </c>
      <c r="X78" t="n">
        <v>0.1075619014</v>
      </c>
      <c r="Y78" t="n">
        <v>0.1014855767</v>
      </c>
      <c r="Z78" t="n">
        <v>0.1196816763</v>
      </c>
      <c r="AA78" t="n">
        <v>0.2576808379</v>
      </c>
      <c r="AB78" t="n">
        <v>0.3382363645</v>
      </c>
      <c r="AC78" t="n">
        <v>0.403459387</v>
      </c>
      <c r="AD78" t="n">
        <v>0.3560978516</v>
      </c>
      <c r="AE78" t="n">
        <v>0.3091055111</v>
      </c>
      <c r="AF78" t="n">
        <v>0.2325827679</v>
      </c>
      <c r="AG78" t="n">
        <v>0.1573704217</v>
      </c>
      <c r="AH78" t="n">
        <v>0.1170220879</v>
      </c>
      <c r="AI78" t="n">
        <v>0.1029073717</v>
      </c>
      <c r="AJ78" t="n">
        <v>0.1053100099</v>
      </c>
      <c r="AK78" t="n">
        <v>0.3589821954</v>
      </c>
      <c r="AL78" t="n">
        <v>0.3255117993</v>
      </c>
      <c r="AM78" t="n">
        <v>0.3993938453</v>
      </c>
      <c r="AN78" t="n">
        <v>0.3560918518</v>
      </c>
      <c r="AO78" t="n">
        <v>0.2687115818</v>
      </c>
      <c r="AP78" t="n">
        <v>0.195821429</v>
      </c>
    </row>
    <row r="79">
      <c r="B79" t="n">
        <v>750</v>
      </c>
      <c r="C79" t="n">
        <v>0.1325171494</v>
      </c>
      <c r="D79" t="n">
        <v>0.1078754901</v>
      </c>
      <c r="E79" t="n">
        <v>0.09379532954</v>
      </c>
      <c r="F79" t="n">
        <v>0.176751082</v>
      </c>
      <c r="G79" t="n">
        <v>0.1914531765</v>
      </c>
      <c r="H79" t="n">
        <v>0.3666911766</v>
      </c>
      <c r="I79" t="n">
        <v>0.3670503065</v>
      </c>
      <c r="J79" t="n">
        <v>0.3797901563</v>
      </c>
      <c r="K79" t="n">
        <v>0.3477122199</v>
      </c>
      <c r="L79" t="n">
        <v>0.253840595</v>
      </c>
      <c r="M79" t="n">
        <v>0.1564703838</v>
      </c>
      <c r="N79" t="n">
        <v>0.1079258659</v>
      </c>
      <c r="O79" t="n">
        <v>0.08852359357</v>
      </c>
      <c r="P79" t="n">
        <v>0.1461586736</v>
      </c>
      <c r="Q79" t="n">
        <v>0.2161686821</v>
      </c>
      <c r="R79" t="n">
        <v>0.3662471144</v>
      </c>
      <c r="S79" t="n">
        <v>0.3982187673</v>
      </c>
      <c r="T79" t="n">
        <v>0.3636599116</v>
      </c>
      <c r="U79" t="n">
        <v>0.3252023319</v>
      </c>
      <c r="V79" t="n">
        <v>0.2411659133</v>
      </c>
      <c r="W79" t="n">
        <v>0.1646029293</v>
      </c>
      <c r="X79" t="n">
        <v>0.1175617105</v>
      </c>
      <c r="Y79" t="n">
        <v>0.1061366547</v>
      </c>
      <c r="Z79" t="n">
        <v>0.1221250086</v>
      </c>
      <c r="AA79" t="n">
        <v>0.2683638174</v>
      </c>
      <c r="AB79" t="n">
        <v>0.3389927823</v>
      </c>
      <c r="AC79" t="n">
        <v>0.4038628752</v>
      </c>
      <c r="AD79" t="n">
        <v>0.3556436138</v>
      </c>
      <c r="AE79" t="n">
        <v>0.3090362531</v>
      </c>
      <c r="AF79" t="n">
        <v>0.2326138466</v>
      </c>
      <c r="AG79" t="n">
        <v>0.1739521954</v>
      </c>
      <c r="AH79" t="n">
        <v>0.1305396366</v>
      </c>
      <c r="AI79" t="n">
        <v>0.1090434044</v>
      </c>
      <c r="AJ79" t="n">
        <v>0.1071757547</v>
      </c>
      <c r="AK79" t="n">
        <v>0.3596581562</v>
      </c>
      <c r="AL79" t="n">
        <v>0.3251499226</v>
      </c>
      <c r="AM79" t="n">
        <v>0.3984330565</v>
      </c>
      <c r="AN79" t="n">
        <v>0.3562074566</v>
      </c>
      <c r="AO79" t="n">
        <v>0.2680362684</v>
      </c>
      <c r="AP79" t="n">
        <v>0.1981112877</v>
      </c>
    </row>
    <row r="80">
      <c r="B80" t="n">
        <v>755</v>
      </c>
      <c r="C80" t="n">
        <v>0.148694384</v>
      </c>
      <c r="D80" t="n">
        <v>0.112732781</v>
      </c>
      <c r="E80" t="n">
        <v>0.09654708405</v>
      </c>
      <c r="F80" t="n">
        <v>0.181755725</v>
      </c>
      <c r="G80" t="n">
        <v>0.2045646556</v>
      </c>
      <c r="H80" t="n">
        <v>0.366699543</v>
      </c>
      <c r="I80" t="n">
        <v>0.3673718173</v>
      </c>
      <c r="J80" t="n">
        <v>0.3805956125</v>
      </c>
      <c r="K80" t="n">
        <v>0.3477771424</v>
      </c>
      <c r="L80" t="n">
        <v>0.2538778413</v>
      </c>
      <c r="M80" t="n">
        <v>0.1801233472</v>
      </c>
      <c r="N80" t="n">
        <v>0.1146907342</v>
      </c>
      <c r="O80" t="n">
        <v>0.09162371213999999</v>
      </c>
      <c r="P80" t="n">
        <v>0.1494454926</v>
      </c>
      <c r="Q80" t="n">
        <v>0.2288321614</v>
      </c>
      <c r="R80" t="n">
        <v>0.3659680107</v>
      </c>
      <c r="S80" t="n">
        <v>0.3982339542</v>
      </c>
      <c r="T80" t="n">
        <v>0.3639206562</v>
      </c>
      <c r="U80" t="n">
        <v>0.3250945512</v>
      </c>
      <c r="V80" t="n">
        <v>0.2409660947</v>
      </c>
      <c r="W80" t="n">
        <v>0.1897884184</v>
      </c>
      <c r="X80" t="n">
        <v>0.1254924225</v>
      </c>
      <c r="Y80" t="n">
        <v>0.1117550032</v>
      </c>
      <c r="Z80" t="n">
        <v>0.1252341415</v>
      </c>
      <c r="AA80" t="n">
        <v>0.2789080542</v>
      </c>
      <c r="AB80" t="n">
        <v>0.3362986535</v>
      </c>
      <c r="AC80" t="n">
        <v>0.4034589026</v>
      </c>
      <c r="AD80" t="n">
        <v>0.3554304469</v>
      </c>
      <c r="AE80" t="n">
        <v>0.3090697027</v>
      </c>
      <c r="AF80" t="n">
        <v>0.2325836869</v>
      </c>
      <c r="AG80" t="n">
        <v>0.1940111915</v>
      </c>
      <c r="AH80" t="n">
        <v>0.1446511805</v>
      </c>
      <c r="AI80" t="n">
        <v>0.1148231047</v>
      </c>
      <c r="AJ80" t="n">
        <v>0.110042924</v>
      </c>
      <c r="AK80" t="n">
        <v>0.3603058873</v>
      </c>
      <c r="AL80" t="n">
        <v>0.3251879002</v>
      </c>
      <c r="AM80" t="n">
        <v>0.3988817939</v>
      </c>
      <c r="AN80" t="n">
        <v>0.3560957174</v>
      </c>
      <c r="AO80" t="n">
        <v>0.2683624252</v>
      </c>
      <c r="AP80" t="n">
        <v>0.201960741</v>
      </c>
    </row>
    <row r="81">
      <c r="B81" t="n">
        <v>760</v>
      </c>
      <c r="C81" t="n">
        <v>0.1633782371</v>
      </c>
      <c r="D81" t="n">
        <v>0.1179664652</v>
      </c>
      <c r="E81" t="n">
        <v>0.09960412008</v>
      </c>
      <c r="F81" t="n">
        <v>0.1856667036</v>
      </c>
      <c r="G81" t="n">
        <v>0.2171179088</v>
      </c>
      <c r="H81" t="n">
        <v>0.3667079094</v>
      </c>
      <c r="I81" t="n">
        <v>0.3664656075</v>
      </c>
      <c r="J81" t="n">
        <v>0.3811186224</v>
      </c>
      <c r="K81" t="n">
        <v>0.3478126332</v>
      </c>
      <c r="L81" t="n">
        <v>0.2542881785</v>
      </c>
      <c r="M81" t="n">
        <v>0.2036905903</v>
      </c>
      <c r="N81" t="n">
        <v>0.1208365408</v>
      </c>
      <c r="O81" t="n">
        <v>0.09522387957</v>
      </c>
      <c r="P81" t="n">
        <v>0.1537148851</v>
      </c>
      <c r="Q81" t="n">
        <v>0.2385600959</v>
      </c>
      <c r="R81" t="n">
        <v>0.365975288</v>
      </c>
      <c r="S81" t="n">
        <v>0.3982491411</v>
      </c>
      <c r="T81" t="n">
        <v>0.3642332447</v>
      </c>
      <c r="U81" t="n">
        <v>0.3249403036</v>
      </c>
      <c r="V81" t="n">
        <v>0.2414992245</v>
      </c>
      <c r="W81" t="n">
        <v>0.2171661269</v>
      </c>
      <c r="X81" t="n">
        <v>0.1338181168</v>
      </c>
      <c r="Y81" t="n">
        <v>0.116806481</v>
      </c>
      <c r="Z81" t="n">
        <v>0.1283837618</v>
      </c>
      <c r="AA81" t="n">
        <v>0.2885674332</v>
      </c>
      <c r="AB81" t="n">
        <v>0.3366269863</v>
      </c>
      <c r="AC81" t="n">
        <v>0.4046899548</v>
      </c>
      <c r="AD81" t="n">
        <v>0.3553523502</v>
      </c>
      <c r="AE81" t="n">
        <v>0.3090936957</v>
      </c>
      <c r="AF81" t="n">
        <v>0.2326518427</v>
      </c>
      <c r="AG81" t="n">
        <v>0.2149901197</v>
      </c>
      <c r="AH81" t="n">
        <v>0.1549002532</v>
      </c>
      <c r="AI81" t="n">
        <v>0.1196341164</v>
      </c>
      <c r="AJ81" t="n">
        <v>0.1124678625</v>
      </c>
      <c r="AK81" t="n">
        <v>0.3609206743</v>
      </c>
      <c r="AL81" t="n">
        <v>0.3262156797</v>
      </c>
      <c r="AM81" t="n">
        <v>0.3999889405</v>
      </c>
      <c r="AN81" t="n">
        <v>0.3560710165</v>
      </c>
      <c r="AO81" t="n">
        <v>0.2685963734</v>
      </c>
      <c r="AP81" t="n">
        <v>0.2045025087</v>
      </c>
    </row>
    <row r="82">
      <c r="B82" t="n">
        <v>765</v>
      </c>
      <c r="C82" t="n">
        <v>0.1759457115</v>
      </c>
      <c r="D82" t="n">
        <v>0.1224345342</v>
      </c>
      <c r="E82" t="n">
        <v>0.1025631267</v>
      </c>
      <c r="F82" t="n">
        <v>0.1895746254</v>
      </c>
      <c r="G82" t="n">
        <v>0.2271057223</v>
      </c>
      <c r="H82" t="n">
        <v>0.3667162758</v>
      </c>
      <c r="I82" t="n">
        <v>0.3673164378</v>
      </c>
      <c r="J82" t="n">
        <v>0.3806535832</v>
      </c>
      <c r="K82" t="n">
        <v>0.348135664</v>
      </c>
      <c r="L82" t="n">
        <v>0.2547321072</v>
      </c>
      <c r="M82" t="n">
        <v>0.2251982039</v>
      </c>
      <c r="N82" t="n">
        <v>0.1260808906</v>
      </c>
      <c r="O82" t="n">
        <v>0.09735892459000001</v>
      </c>
      <c r="P82" t="n">
        <v>0.1577346374</v>
      </c>
      <c r="Q82" t="n">
        <v>0.24746211</v>
      </c>
      <c r="R82" t="n">
        <v>0.3659487237</v>
      </c>
      <c r="S82" t="n">
        <v>0.398264328</v>
      </c>
      <c r="T82" t="n">
        <v>0.3643739158</v>
      </c>
      <c r="U82" t="n">
        <v>0.3252400253</v>
      </c>
      <c r="V82" t="n">
        <v>0.2425548328</v>
      </c>
      <c r="W82" t="n">
        <v>0.2418371688</v>
      </c>
      <c r="X82" t="n">
        <v>0.1396370698</v>
      </c>
      <c r="Y82" t="n">
        <v>0.1194667979</v>
      </c>
      <c r="Z82" t="n">
        <v>0.1319108436</v>
      </c>
      <c r="AA82" t="n">
        <v>0.2974235271</v>
      </c>
      <c r="AB82" t="n">
        <v>0.3358753725</v>
      </c>
      <c r="AC82" t="n">
        <v>0.403995442</v>
      </c>
      <c r="AD82" t="n">
        <v>0.356247601</v>
      </c>
      <c r="AE82" t="n">
        <v>0.3090595332</v>
      </c>
      <c r="AF82" t="n">
        <v>0.2327956951</v>
      </c>
      <c r="AG82" t="n">
        <v>0.2346893613</v>
      </c>
      <c r="AH82" t="n">
        <v>0.163890425</v>
      </c>
      <c r="AI82" t="n">
        <v>0.124485385</v>
      </c>
      <c r="AJ82" t="n">
        <v>0.1155663226</v>
      </c>
      <c r="AK82" t="n">
        <v>0.3614938751</v>
      </c>
      <c r="AL82" t="n">
        <v>0.3240840459</v>
      </c>
      <c r="AM82" t="n">
        <v>0.3990865105</v>
      </c>
      <c r="AN82" t="n">
        <v>0.3568289583</v>
      </c>
      <c r="AO82" t="n">
        <v>0.2682632658</v>
      </c>
      <c r="AP82" t="n">
        <v>0.2068921846</v>
      </c>
    </row>
    <row r="83">
      <c r="B83" t="n">
        <v>770</v>
      </c>
      <c r="C83" t="n">
        <v>0.183179694</v>
      </c>
      <c r="D83" t="n">
        <v>0.1234209543</v>
      </c>
      <c r="E83" t="n">
        <v>0.1045270602</v>
      </c>
      <c r="F83" t="n">
        <v>0.1933658681</v>
      </c>
      <c r="G83" t="n">
        <v>0.2361890783</v>
      </c>
      <c r="H83" t="n">
        <v>0.3667246423</v>
      </c>
      <c r="I83" t="n">
        <v>0.3656743387</v>
      </c>
      <c r="J83" t="n">
        <v>0.3792796594</v>
      </c>
      <c r="K83" t="n">
        <v>0.3477763449</v>
      </c>
      <c r="L83" t="n">
        <v>0.2541697745</v>
      </c>
      <c r="M83" t="n">
        <v>0.2404467728</v>
      </c>
      <c r="N83" t="n">
        <v>0.1277731797</v>
      </c>
      <c r="O83" t="n">
        <v>0.1009750404</v>
      </c>
      <c r="P83" t="n">
        <v>0.160711765</v>
      </c>
      <c r="Q83" t="n">
        <v>0.2571573042</v>
      </c>
      <c r="R83" t="n">
        <v>0.3657849013</v>
      </c>
      <c r="S83" t="n">
        <v>0.3982795149</v>
      </c>
      <c r="T83" t="n">
        <v>0.3627663353</v>
      </c>
      <c r="U83" t="n">
        <v>0.3244624503</v>
      </c>
      <c r="V83" t="n">
        <v>0.2417358102</v>
      </c>
      <c r="W83" t="n">
        <v>0.2624674269</v>
      </c>
      <c r="X83" t="n">
        <v>0.142288245</v>
      </c>
      <c r="Y83" t="n">
        <v>0.1236152408</v>
      </c>
      <c r="Z83" t="n">
        <v>0.1354834274</v>
      </c>
      <c r="AA83" t="n">
        <v>0.3048463443</v>
      </c>
      <c r="AB83" t="n">
        <v>0.3340009232</v>
      </c>
      <c r="AC83" t="n">
        <v>0.4016866872</v>
      </c>
      <c r="AD83" t="n">
        <v>0.3538305201</v>
      </c>
      <c r="AE83" t="n">
        <v>0.3090376516</v>
      </c>
      <c r="AF83" t="n">
        <v>0.2326893467</v>
      </c>
      <c r="AG83" t="n">
        <v>0.2507534307</v>
      </c>
      <c r="AH83" t="n">
        <v>0.1695735746</v>
      </c>
      <c r="AI83" t="n">
        <v>0.1259234914</v>
      </c>
      <c r="AJ83" t="n">
        <v>0.1192517388</v>
      </c>
      <c r="AK83" t="n">
        <v>0.3619784782</v>
      </c>
      <c r="AL83" t="n">
        <v>0.3224283864</v>
      </c>
      <c r="AM83" t="n">
        <v>0.3960776787</v>
      </c>
      <c r="AN83" t="n">
        <v>0.3555931088</v>
      </c>
      <c r="AO83" t="n">
        <v>0.2680499051</v>
      </c>
      <c r="AP83" t="n">
        <v>0.2104715263</v>
      </c>
    </row>
    <row r="84">
      <c r="B84" t="n">
        <v>775</v>
      </c>
      <c r="C84" t="n">
        <v>0.1879014632</v>
      </c>
      <c r="D84" t="n">
        <v>0.1262593263</v>
      </c>
      <c r="E84" t="n">
        <v>0.1083505925</v>
      </c>
      <c r="F84" t="n">
        <v>0.1990434716</v>
      </c>
      <c r="G84" t="n">
        <v>0.2472696569</v>
      </c>
      <c r="H84" t="n">
        <v>0.3667330087</v>
      </c>
      <c r="I84" t="n">
        <v>0.3659148899</v>
      </c>
      <c r="J84" t="n">
        <v>0.3788487488</v>
      </c>
      <c r="K84" t="n">
        <v>0.3477393575</v>
      </c>
      <c r="L84" t="n">
        <v>0.2535269616</v>
      </c>
      <c r="M84" t="n">
        <v>0.2512693301</v>
      </c>
      <c r="N84" t="n">
        <v>0.13045129</v>
      </c>
      <c r="O84" t="n">
        <v>0.1056407211</v>
      </c>
      <c r="P84" t="n">
        <v>0.1656344273</v>
      </c>
      <c r="Q84" t="n">
        <v>0.2661687366</v>
      </c>
      <c r="R84" t="n">
        <v>0.3656902589</v>
      </c>
      <c r="S84" t="n">
        <v>0.3982947018</v>
      </c>
      <c r="T84" t="n">
        <v>0.362368613</v>
      </c>
      <c r="U84" t="n">
        <v>0.3241937737</v>
      </c>
      <c r="V84" t="n">
        <v>0.2411264019</v>
      </c>
      <c r="W84" t="n">
        <v>0.2773140821</v>
      </c>
      <c r="X84" t="n">
        <v>0.1439983319</v>
      </c>
      <c r="Y84" t="n">
        <v>0.1240265792</v>
      </c>
      <c r="Z84" t="n">
        <v>0.1397651732</v>
      </c>
      <c r="AA84" t="n">
        <v>0.3110644169</v>
      </c>
      <c r="AB84" t="n">
        <v>0.3333980219</v>
      </c>
      <c r="AC84" t="n">
        <v>0.4035662075</v>
      </c>
      <c r="AD84" t="n">
        <v>0.3546208255</v>
      </c>
      <c r="AE84" t="n">
        <v>0.3089716289</v>
      </c>
      <c r="AF84" t="n">
        <v>0.2326156367</v>
      </c>
      <c r="AG84" t="n">
        <v>0.2645274</v>
      </c>
      <c r="AH84" t="n">
        <v>0.1712809334</v>
      </c>
      <c r="AI84" t="n">
        <v>0.1280987788</v>
      </c>
      <c r="AJ84" t="n">
        <v>0.1230001946</v>
      </c>
      <c r="AK84" t="n">
        <v>0.3623971869</v>
      </c>
      <c r="AL84" t="n">
        <v>0.3238963217</v>
      </c>
      <c r="AM84" t="n">
        <v>0.3980780286</v>
      </c>
      <c r="AN84" t="n">
        <v>0.3564266834</v>
      </c>
      <c r="AO84" t="n">
        <v>0.2674061376</v>
      </c>
      <c r="AP84" t="n">
        <v>0.2123865353</v>
      </c>
    </row>
    <row r="85">
      <c r="B85" t="n">
        <v>780</v>
      </c>
      <c r="C85" t="n">
        <v>0.1918139434</v>
      </c>
      <c r="D85" t="n">
        <v>0.1272347417</v>
      </c>
      <c r="E85" t="n">
        <v>0.1126677837</v>
      </c>
      <c r="F85" t="n">
        <v>0.2049455822</v>
      </c>
      <c r="G85" t="n">
        <v>0.2580529023</v>
      </c>
      <c r="H85" t="n">
        <v>0.3667413751</v>
      </c>
      <c r="I85" t="n">
        <v>0.365932873</v>
      </c>
      <c r="J85" t="n">
        <v>0.379971475</v>
      </c>
      <c r="K85" t="n">
        <v>0.3482481733</v>
      </c>
      <c r="L85" t="n">
        <v>0.2538043897</v>
      </c>
      <c r="M85" t="n">
        <v>0.2581006044</v>
      </c>
      <c r="N85" t="n">
        <v>0.1331711744</v>
      </c>
      <c r="O85" t="n">
        <v>0.1104765251</v>
      </c>
      <c r="P85" t="n">
        <v>0.1719662778</v>
      </c>
      <c r="Q85" t="n">
        <v>0.2743964414</v>
      </c>
      <c r="R85" t="n">
        <v>0.3655754186</v>
      </c>
      <c r="S85" t="n">
        <v>0.3983098887</v>
      </c>
      <c r="T85" t="n">
        <v>0.3632491054</v>
      </c>
      <c r="U85" t="n">
        <v>0.3247868137</v>
      </c>
      <c r="V85" t="n">
        <v>0.2424770202</v>
      </c>
      <c r="W85" t="n">
        <v>0.2867995809</v>
      </c>
      <c r="X85" t="n">
        <v>0.145369018</v>
      </c>
      <c r="Y85" t="n">
        <v>0.1267522107</v>
      </c>
      <c r="Z85" t="n">
        <v>0.1460955896</v>
      </c>
      <c r="AA85" t="n">
        <v>0.3201446777</v>
      </c>
      <c r="AB85" t="n">
        <v>0.3320561698</v>
      </c>
      <c r="AC85" t="n">
        <v>0.4034681395</v>
      </c>
      <c r="AD85" t="n">
        <v>0.3554743444</v>
      </c>
      <c r="AE85" t="n">
        <v>0.3088642045</v>
      </c>
      <c r="AF85" t="n">
        <v>0.2328067101</v>
      </c>
      <c r="AG85" t="n">
        <v>0.2772802138</v>
      </c>
      <c r="AH85" t="n">
        <v>0.1732500421</v>
      </c>
      <c r="AI85" t="n">
        <v>0.1311773017</v>
      </c>
      <c r="AJ85" t="n">
        <v>0.1290146921</v>
      </c>
      <c r="AK85" t="n">
        <v>0.3629877391</v>
      </c>
      <c r="AL85" t="n">
        <v>0.3228163479</v>
      </c>
      <c r="AM85" t="n">
        <v>0.3989819858</v>
      </c>
      <c r="AN85" t="n">
        <v>0.3569408068</v>
      </c>
      <c r="AO85" t="n">
        <v>0.2663586759</v>
      </c>
      <c r="AP85" t="n">
        <v>0.2166256554</v>
      </c>
    </row>
    <row r="87">
      <c r="B87" t="inlineStr">
        <is>
          <t>ref p</t>
        </is>
      </c>
      <c r="C87" t="n">
        <v>-18.2867329249553</v>
      </c>
      <c r="D87" t="n">
        <v>-25.737469550389</v>
      </c>
      <c r="E87" t="n">
        <v>-26.7275132659381</v>
      </c>
      <c r="F87" t="n">
        <v>-14.5479430996472</v>
      </c>
      <c r="G87" t="n">
        <v>-2.15436054240197</v>
      </c>
      <c r="H87" t="n">
        <v>16.444593422535</v>
      </c>
      <c r="I87" t="n">
        <v>25.6161796946105</v>
      </c>
      <c r="J87" t="n">
        <v>26.6958163467286</v>
      </c>
      <c r="K87" t="n">
        <v>20.1343260257127</v>
      </c>
      <c r="L87" t="n">
        <v>3.02013052184855</v>
      </c>
      <c r="M87" t="n">
        <v>-14.6623180774311</v>
      </c>
      <c r="N87" t="n">
        <v>-24.4254106347003</v>
      </c>
      <c r="O87" t="n">
        <v>-27.1417749739357</v>
      </c>
      <c r="P87" t="n">
        <v>-18.3866227713477</v>
      </c>
      <c r="Q87" t="n">
        <v>2.46109054268964</v>
      </c>
      <c r="R87" t="n">
        <v>19.2781930357924</v>
      </c>
      <c r="S87" t="n">
        <v>26.6098137865274</v>
      </c>
      <c r="T87" t="n">
        <v>26.068301563397</v>
      </c>
      <c r="U87" t="n">
        <v>16.4247460217603</v>
      </c>
      <c r="V87" t="n">
        <v>-1.78142292711379</v>
      </c>
      <c r="W87" t="n">
        <v>-10.7501982718876</v>
      </c>
      <c r="X87" t="n">
        <v>-23.2073917786301</v>
      </c>
      <c r="Y87" t="n">
        <v>-26.9935104478596</v>
      </c>
      <c r="Z87" t="n">
        <v>-22.6269379883342</v>
      </c>
      <c r="AA87" t="n">
        <v>8.250854418195519</v>
      </c>
      <c r="AB87" t="n">
        <v>22.159519196287</v>
      </c>
      <c r="AC87" t="n">
        <v>27.027216216038</v>
      </c>
      <c r="AD87" t="n">
        <v>24.9609421959989</v>
      </c>
      <c r="AE87" t="n">
        <v>12.7969268380791</v>
      </c>
      <c r="AF87" t="n">
        <v>-6.27424687786418</v>
      </c>
      <c r="AG87" t="n">
        <v>-6.76378705058772</v>
      </c>
      <c r="AH87" t="n">
        <v>-20.862291877761</v>
      </c>
      <c r="AI87" t="n">
        <v>-26.4749116478634</v>
      </c>
      <c r="AJ87" t="n">
        <v>-24.9460931785178</v>
      </c>
      <c r="AK87" t="n">
        <v>13.2497206401597</v>
      </c>
      <c r="AL87" t="n">
        <v>24.180821577658</v>
      </c>
      <c r="AM87" t="n">
        <v>26.9634797360995</v>
      </c>
      <c r="AN87" t="n">
        <v>22.9903577188156</v>
      </c>
      <c r="AO87" t="n">
        <v>7.9935215153982</v>
      </c>
      <c r="AP87" t="n">
        <v>-10.193623940333</v>
      </c>
    </row>
    <row r="88">
      <c r="B88" t="inlineStr">
        <is>
          <t>ref t</t>
        </is>
      </c>
      <c r="C88" t="n">
        <v>-19.7726930206003</v>
      </c>
      <c r="D88" t="n">
        <v>-3.25920348738994</v>
      </c>
      <c r="E88" t="n">
        <v>9.35427673510776</v>
      </c>
      <c r="F88" t="n">
        <v>24.622563998741</v>
      </c>
      <c r="G88" t="n">
        <v>-27.2297416323247</v>
      </c>
      <c r="H88" t="n">
        <v>-21.1520108314349</v>
      </c>
      <c r="I88" t="n">
        <v>-4.38321199228921</v>
      </c>
      <c r="J88" t="n">
        <v>10.9827963046921</v>
      </c>
      <c r="K88" t="n">
        <v>21.8139061936787</v>
      </c>
      <c r="L88" t="n">
        <v>27.0054796173792</v>
      </c>
      <c r="M88" t="n">
        <v>-23.0722279684482</v>
      </c>
      <c r="N88" t="n">
        <v>-7.62964960191767</v>
      </c>
      <c r="O88" t="n">
        <v>5.52678311882423</v>
      </c>
      <c r="P88" t="n">
        <v>22.4502826850568</v>
      </c>
      <c r="Q88" t="n">
        <v>-27.1365387750169</v>
      </c>
      <c r="R88" t="n">
        <v>-17.7134675717388</v>
      </c>
      <c r="S88" t="n">
        <v>0.993671535473024</v>
      </c>
      <c r="T88" t="n">
        <v>13.9781042938539</v>
      </c>
      <c r="U88" t="n">
        <v>23.8841398947235</v>
      </c>
      <c r="V88" t="n">
        <v>27.1721409203559</v>
      </c>
      <c r="W88" t="n">
        <v>-25.2028821372298</v>
      </c>
      <c r="X88" t="n">
        <v>-11.4474827079725</v>
      </c>
      <c r="Y88" t="n">
        <v>2.68443975199083</v>
      </c>
      <c r="Z88" t="n">
        <v>18.6104923866598</v>
      </c>
      <c r="AA88" t="n">
        <v>-26.2135686979157</v>
      </c>
      <c r="AB88" t="n">
        <v>-13.1390191389748</v>
      </c>
      <c r="AC88" t="n">
        <v>4.82024909049277</v>
      </c>
      <c r="AD88" t="n">
        <v>16.6027863910241</v>
      </c>
      <c r="AE88" t="n">
        <v>25.2459263810563</v>
      </c>
      <c r="AF88" t="n">
        <v>26.9339025415446</v>
      </c>
      <c r="AG88" t="n">
        <v>-26.3786979426468</v>
      </c>
      <c r="AH88" t="n">
        <v>-16.16473260846</v>
      </c>
      <c r="AI88" t="n">
        <v>-0.236890076567233</v>
      </c>
      <c r="AJ88" t="n">
        <v>14.6732930607668</v>
      </c>
      <c r="AK88" t="n">
        <v>-24.2459720695028</v>
      </c>
      <c r="AL88" t="n">
        <v>-8.807018092535801</v>
      </c>
      <c r="AM88" t="n">
        <v>8.161810244782149</v>
      </c>
      <c r="AN88" t="n">
        <v>19.6854692580795</v>
      </c>
      <c r="AO88" t="n">
        <v>26.379399138514</v>
      </c>
      <c r="AP88" t="n">
        <v>26.2079842218159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CIE observers and illuminants, 380-780 nm at 5 nm (from the companion package).</t>
        </is>
      </c>
    </row>
    <row r="4">
      <c r="A4" t="inlineStr">
        <is>
          <t>nm</t>
        </is>
      </c>
      <c r="B4" s="2" t="inlineStr">
        <is>
          <t>CIE 1931 x</t>
        </is>
      </c>
      <c r="C4" s="2" t="inlineStr">
        <is>
          <t>CIE 1931 y</t>
        </is>
      </c>
      <c r="D4" s="2" t="inlineStr">
        <is>
          <t>CIE 1931 z</t>
        </is>
      </c>
      <c r="E4" s="2" t="inlineStr">
        <is>
          <t>CIE 1964 x</t>
        </is>
      </c>
      <c r="F4" s="2" t="inlineStr">
        <is>
          <t>CIE 1964 y</t>
        </is>
      </c>
      <c r="G4" s="2" t="inlineStr">
        <is>
          <t>CIE 1964 z</t>
        </is>
      </c>
      <c r="H4" s="2" t="inlineStr">
        <is>
          <t>CIE 2015 x</t>
        </is>
      </c>
      <c r="I4" s="2" t="inlineStr">
        <is>
          <t>CIE 2015 y</t>
        </is>
      </c>
      <c r="J4" s="2" t="inlineStr">
        <is>
          <t>CIE 2015 z</t>
        </is>
      </c>
      <c r="K4" s="2" t="inlineStr">
        <is>
          <t>A</t>
        </is>
      </c>
      <c r="L4" s="2" t="inlineStr">
        <is>
          <t>C</t>
        </is>
      </c>
      <c r="M4" s="2" t="inlineStr">
        <is>
          <t>D50</t>
        </is>
      </c>
      <c r="N4" s="2" t="inlineStr">
        <is>
          <t>D65</t>
        </is>
      </c>
      <c r="O4" s="2" t="inlineStr">
        <is>
          <t>E</t>
        </is>
      </c>
      <c r="P4" s="2" t="inlineStr">
        <is>
          <t>F2</t>
        </is>
      </c>
      <c r="Q4" s="2" t="inlineStr">
        <is>
          <t>F11</t>
        </is>
      </c>
    </row>
    <row r="5">
      <c r="A5" t="n">
        <v>380</v>
      </c>
      <c r="B5" t="n">
        <v>0.001368</v>
      </c>
      <c r="C5" t="n">
        <v>3.9e-05</v>
      </c>
      <c r="D5" t="n">
        <v>0.00645</v>
      </c>
      <c r="E5" t="n">
        <v>0.00016</v>
      </c>
      <c r="F5" t="n">
        <v>1.7e-05</v>
      </c>
      <c r="G5" t="n">
        <v>0.000705</v>
      </c>
      <c r="H5" t="n">
        <v>0</v>
      </c>
      <c r="I5" t="n">
        <v>0</v>
      </c>
      <c r="J5" t="n">
        <v>0</v>
      </c>
      <c r="K5" t="n">
        <v>9.7951</v>
      </c>
      <c r="L5" t="n">
        <v>33</v>
      </c>
      <c r="M5" t="n">
        <v>24.45714697</v>
      </c>
      <c r="N5" t="n">
        <v>49.9755</v>
      </c>
      <c r="O5" t="n">
        <v>100</v>
      </c>
      <c r="P5" t="n">
        <v>1.18</v>
      </c>
      <c r="Q5" t="n">
        <v>0.91</v>
      </c>
    </row>
    <row r="6">
      <c r="A6" t="n">
        <v>385</v>
      </c>
      <c r="B6" t="n">
        <v>0.002236</v>
      </c>
      <c r="C6" t="n">
        <v>6.4e-05</v>
      </c>
      <c r="D6" t="n">
        <v>0.01055</v>
      </c>
      <c r="E6" t="n">
        <v>0.000662</v>
      </c>
      <c r="F6" t="n">
        <v>7.2e-05</v>
      </c>
      <c r="G6" t="n">
        <v>0.002928</v>
      </c>
      <c r="H6" t="n">
        <v>0</v>
      </c>
      <c r="I6" t="n">
        <v>0</v>
      </c>
      <c r="J6" t="n">
        <v>0</v>
      </c>
      <c r="K6" t="n">
        <v>10.8996</v>
      </c>
      <c r="L6" t="n">
        <v>39.92</v>
      </c>
      <c r="M6" t="n">
        <v>27.1472803</v>
      </c>
      <c r="N6" t="n">
        <v>52.3118</v>
      </c>
      <c r="O6" t="n">
        <v>100</v>
      </c>
      <c r="P6" t="n">
        <v>1.48</v>
      </c>
      <c r="Q6" t="n">
        <v>0.63</v>
      </c>
    </row>
    <row r="7">
      <c r="A7" t="n">
        <v>390</v>
      </c>
      <c r="B7" t="n">
        <v>0.004243</v>
      </c>
      <c r="C7" t="n">
        <v>0.00012</v>
      </c>
      <c r="D7" t="n">
        <v>0.02005</v>
      </c>
      <c r="E7" t="n">
        <v>0.002362</v>
      </c>
      <c r="F7" t="n">
        <v>0.000253</v>
      </c>
      <c r="G7" t="n">
        <v>0.010482</v>
      </c>
      <c r="H7" t="n">
        <v>0.003769647</v>
      </c>
      <c r="I7" t="n">
        <v>0.0004146161</v>
      </c>
      <c r="J7" t="n">
        <v>0.0184726</v>
      </c>
      <c r="K7" t="n">
        <v>12.0853</v>
      </c>
      <c r="L7" t="n">
        <v>47.4</v>
      </c>
      <c r="M7" t="n">
        <v>29.83741363</v>
      </c>
      <c r="N7" t="n">
        <v>54.6482</v>
      </c>
      <c r="O7" t="n">
        <v>100</v>
      </c>
      <c r="P7" t="n">
        <v>1.84</v>
      </c>
      <c r="Q7" t="n">
        <v>0.46</v>
      </c>
    </row>
    <row r="8">
      <c r="A8" t="n">
        <v>395</v>
      </c>
      <c r="B8" t="n">
        <v>0.00765</v>
      </c>
      <c r="C8" t="n">
        <v>0.000217</v>
      </c>
      <c r="D8" t="n">
        <v>0.03621</v>
      </c>
      <c r="E8" t="n">
        <v>0.007242</v>
      </c>
      <c r="F8" t="n">
        <v>0.000769</v>
      </c>
      <c r="G8" t="n">
        <v>0.032344</v>
      </c>
      <c r="H8" t="n">
        <v>0.009382967000000001</v>
      </c>
      <c r="I8" t="n">
        <v>0.001059646</v>
      </c>
      <c r="J8" t="n">
        <v>0.04609784</v>
      </c>
      <c r="K8" t="n">
        <v>13.3543</v>
      </c>
      <c r="L8" t="n">
        <v>55.17</v>
      </c>
      <c r="M8" t="n">
        <v>39.54744278</v>
      </c>
      <c r="N8" t="n">
        <v>68.7015</v>
      </c>
      <c r="O8" t="n">
        <v>100</v>
      </c>
      <c r="P8" t="n">
        <v>2.15</v>
      </c>
      <c r="Q8" t="n">
        <v>0.37</v>
      </c>
    </row>
    <row r="9">
      <c r="A9" t="n">
        <v>400</v>
      </c>
      <c r="B9" t="n">
        <v>0.01431</v>
      </c>
      <c r="C9" t="n">
        <v>0.000396</v>
      </c>
      <c r="D9" t="n">
        <v>0.06784999999999999</v>
      </c>
      <c r="E9" t="n">
        <v>0.01911</v>
      </c>
      <c r="F9" t="n">
        <v>0.002004</v>
      </c>
      <c r="G9" t="n">
        <v>0.086011</v>
      </c>
      <c r="H9" t="n">
        <v>0.02214302</v>
      </c>
      <c r="I9" t="n">
        <v>0.002452194</v>
      </c>
      <c r="J9" t="n">
        <v>0.109609</v>
      </c>
      <c r="K9" t="n">
        <v>14.708</v>
      </c>
      <c r="L9" t="n">
        <v>63.3</v>
      </c>
      <c r="M9" t="n">
        <v>49.25747194</v>
      </c>
      <c r="N9" t="n">
        <v>82.75490000000001</v>
      </c>
      <c r="O9" t="n">
        <v>100</v>
      </c>
      <c r="P9" t="n">
        <v>3.44</v>
      </c>
      <c r="Q9" t="n">
        <v>1.29</v>
      </c>
    </row>
    <row r="10">
      <c r="A10" t="n">
        <v>405</v>
      </c>
      <c r="B10" t="n">
        <v>0.02319</v>
      </c>
      <c r="C10" t="n">
        <v>0.0006400000000000001</v>
      </c>
      <c r="D10" t="n">
        <v>0.1102</v>
      </c>
      <c r="E10" t="n">
        <v>0.0434</v>
      </c>
      <c r="F10" t="n">
        <v>0.004509</v>
      </c>
      <c r="G10" t="n">
        <v>0.19712</v>
      </c>
      <c r="H10" t="n">
        <v>0.04742986</v>
      </c>
      <c r="I10" t="n">
        <v>0.004971717</v>
      </c>
      <c r="J10" t="n">
        <v>0.2369246</v>
      </c>
      <c r="K10" t="n">
        <v>16.148</v>
      </c>
      <c r="L10" t="n">
        <v>71.81</v>
      </c>
      <c r="M10" t="n">
        <v>52.85936359</v>
      </c>
      <c r="N10" t="n">
        <v>87.1204</v>
      </c>
      <c r="O10" t="n">
        <v>100</v>
      </c>
      <c r="P10" t="n">
        <v>15.69</v>
      </c>
      <c r="Q10" t="n">
        <v>12.68</v>
      </c>
    </row>
    <row r="11">
      <c r="A11" t="n">
        <v>410</v>
      </c>
      <c r="B11" t="n">
        <v>0.04351</v>
      </c>
      <c r="C11" t="n">
        <v>0.00121</v>
      </c>
      <c r="D11" t="n">
        <v>0.2074</v>
      </c>
      <c r="E11" t="n">
        <v>0.08473600000000001</v>
      </c>
      <c r="F11" t="n">
        <v>0.008756</v>
      </c>
      <c r="G11" t="n">
        <v>0.389366</v>
      </c>
      <c r="H11" t="n">
        <v>0.08953803</v>
      </c>
      <c r="I11" t="n">
        <v>0.00907986</v>
      </c>
      <c r="J11" t="n">
        <v>0.4508369</v>
      </c>
      <c r="K11" t="n">
        <v>17.6753</v>
      </c>
      <c r="L11" t="n">
        <v>80.59999999999999</v>
      </c>
      <c r="M11" t="n">
        <v>56.46125524</v>
      </c>
      <c r="N11" t="n">
        <v>91.486</v>
      </c>
      <c r="O11" t="n">
        <v>100</v>
      </c>
      <c r="P11" t="n">
        <v>3.85</v>
      </c>
      <c r="Q11" t="n">
        <v>1.59</v>
      </c>
    </row>
    <row r="12">
      <c r="A12" t="n">
        <v>415</v>
      </c>
      <c r="B12" t="n">
        <v>0.07763</v>
      </c>
      <c r="C12" t="n">
        <v>0.00218</v>
      </c>
      <c r="D12" t="n">
        <v>0.3713</v>
      </c>
      <c r="E12" t="n">
        <v>0.140638</v>
      </c>
      <c r="F12" t="n">
        <v>0.014456</v>
      </c>
      <c r="G12" t="n">
        <v>0.65676</v>
      </c>
      <c r="H12" t="n">
        <v>0.1446214</v>
      </c>
      <c r="I12" t="n">
        <v>0.01429377</v>
      </c>
      <c r="J12" t="n">
        <v>0.7378822</v>
      </c>
      <c r="K12" t="n">
        <v>19.2907</v>
      </c>
      <c r="L12" t="n">
        <v>89.53</v>
      </c>
      <c r="M12" t="n">
        <v>58.22267753</v>
      </c>
      <c r="N12" t="n">
        <v>92.4589</v>
      </c>
      <c r="O12" t="n">
        <v>100</v>
      </c>
      <c r="P12" t="n">
        <v>3.74</v>
      </c>
      <c r="Q12" t="n">
        <v>1.79</v>
      </c>
    </row>
    <row r="13">
      <c r="A13" t="n">
        <v>420</v>
      </c>
      <c r="B13" t="n">
        <v>0.13438</v>
      </c>
      <c r="C13" t="n">
        <v>0.004</v>
      </c>
      <c r="D13" t="n">
        <v>0.6456</v>
      </c>
      <c r="E13" t="n">
        <v>0.204492</v>
      </c>
      <c r="F13" t="n">
        <v>0.021391</v>
      </c>
      <c r="G13" t="n">
        <v>0.972542</v>
      </c>
      <c r="H13" t="n">
        <v>0.2035729</v>
      </c>
      <c r="I13" t="n">
        <v>0.02027369</v>
      </c>
      <c r="J13" t="n">
        <v>1.051821</v>
      </c>
      <c r="K13" t="n">
        <v>20.995</v>
      </c>
      <c r="L13" t="n">
        <v>98.09999999999999</v>
      </c>
      <c r="M13" t="n">
        <v>59.98409982</v>
      </c>
      <c r="N13" t="n">
        <v>93.4318</v>
      </c>
      <c r="O13" t="n">
        <v>100</v>
      </c>
      <c r="P13" t="n">
        <v>4.19</v>
      </c>
      <c r="Q13" t="n">
        <v>2.46</v>
      </c>
    </row>
    <row r="14">
      <c r="A14" t="n">
        <v>425</v>
      </c>
      <c r="B14" t="n">
        <v>0.21477</v>
      </c>
      <c r="C14" t="n">
        <v>0.0073</v>
      </c>
      <c r="D14" t="n">
        <v>1.03905</v>
      </c>
      <c r="E14" t="n">
        <v>0.264737</v>
      </c>
      <c r="F14" t="n">
        <v>0.029497</v>
      </c>
      <c r="G14" t="n">
        <v>1.2825</v>
      </c>
      <c r="H14" t="n">
        <v>0.2488523</v>
      </c>
      <c r="I14" t="n">
        <v>0.02612106</v>
      </c>
      <c r="J14" t="n">
        <v>1.305008</v>
      </c>
      <c r="K14" t="n">
        <v>22.7883</v>
      </c>
      <c r="L14" t="n">
        <v>105.8</v>
      </c>
      <c r="M14" t="n">
        <v>58.87868504</v>
      </c>
      <c r="N14" t="n">
        <v>90.057</v>
      </c>
      <c r="O14" t="n">
        <v>100</v>
      </c>
      <c r="P14" t="n">
        <v>4.62</v>
      </c>
      <c r="Q14" t="n">
        <v>3.33</v>
      </c>
    </row>
    <row r="15">
      <c r="A15" t="n">
        <v>430</v>
      </c>
      <c r="B15" t="n">
        <v>0.2839</v>
      </c>
      <c r="C15" t="n">
        <v>0.0116</v>
      </c>
      <c r="D15" t="n">
        <v>1.3856</v>
      </c>
      <c r="E15" t="n">
        <v>0.314679</v>
      </c>
      <c r="F15" t="n">
        <v>0.038676</v>
      </c>
      <c r="G15" t="n">
        <v>1.55348</v>
      </c>
      <c r="H15" t="n">
        <v>0.2918246</v>
      </c>
      <c r="I15" t="n">
        <v>0.03319038</v>
      </c>
      <c r="J15" t="n">
        <v>1.552826</v>
      </c>
      <c r="K15" t="n">
        <v>24.6709</v>
      </c>
      <c r="L15" t="n">
        <v>112.4</v>
      </c>
      <c r="M15" t="n">
        <v>57.77327026</v>
      </c>
      <c r="N15" t="n">
        <v>86.6823</v>
      </c>
      <c r="O15" t="n">
        <v>100</v>
      </c>
      <c r="P15" t="n">
        <v>5.06</v>
      </c>
      <c r="Q15" t="n">
        <v>4.49</v>
      </c>
    </row>
    <row r="16">
      <c r="A16" t="n">
        <v>435</v>
      </c>
      <c r="B16" t="n">
        <v>0.3285</v>
      </c>
      <c r="C16" t="n">
        <v>0.01684</v>
      </c>
      <c r="D16" t="n">
        <v>1.62296</v>
      </c>
      <c r="E16" t="n">
        <v>0.357719</v>
      </c>
      <c r="F16" t="n">
        <v>0.049602</v>
      </c>
      <c r="G16" t="n">
        <v>1.7985</v>
      </c>
      <c r="H16" t="n">
        <v>0.3227087</v>
      </c>
      <c r="I16" t="n">
        <v>0.0415794</v>
      </c>
      <c r="J16" t="n">
        <v>1.74828</v>
      </c>
      <c r="K16" t="n">
        <v>26.6425</v>
      </c>
      <c r="L16" t="n">
        <v>117.75</v>
      </c>
      <c r="M16" t="n">
        <v>66.27462168</v>
      </c>
      <c r="N16" t="n">
        <v>95.7736</v>
      </c>
      <c r="O16" t="n">
        <v>100</v>
      </c>
      <c r="P16" t="n">
        <v>34.98</v>
      </c>
      <c r="Q16" t="n">
        <v>33.94</v>
      </c>
    </row>
    <row r="17">
      <c r="A17" t="n">
        <v>440</v>
      </c>
      <c r="B17" t="n">
        <v>0.34828</v>
      </c>
      <c r="C17" t="n">
        <v>0.023</v>
      </c>
      <c r="D17" t="n">
        <v>1.74706</v>
      </c>
      <c r="E17" t="n">
        <v>0.383734</v>
      </c>
      <c r="F17" t="n">
        <v>0.062077</v>
      </c>
      <c r="G17" t="n">
        <v>1.96728</v>
      </c>
      <c r="H17" t="n">
        <v>0.3482554</v>
      </c>
      <c r="I17" t="n">
        <v>0.05033657</v>
      </c>
      <c r="J17" t="n">
        <v>1.917479</v>
      </c>
      <c r="K17" t="n">
        <v>28.7027</v>
      </c>
      <c r="L17" t="n">
        <v>121.5</v>
      </c>
      <c r="M17" t="n">
        <v>74.77597311</v>
      </c>
      <c r="N17" t="n">
        <v>104.865</v>
      </c>
      <c r="O17" t="n">
        <v>100</v>
      </c>
      <c r="P17" t="n">
        <v>11.81</v>
      </c>
      <c r="Q17" t="n">
        <v>12.13</v>
      </c>
    </row>
    <row r="18">
      <c r="A18" t="n">
        <v>445</v>
      </c>
      <c r="B18" t="n">
        <v>0.34806</v>
      </c>
      <c r="C18" t="n">
        <v>0.0298</v>
      </c>
      <c r="D18" t="n">
        <v>1.7826</v>
      </c>
      <c r="E18" t="n">
        <v>0.386726</v>
      </c>
      <c r="F18" t="n">
        <v>0.07470400000000001</v>
      </c>
      <c r="G18" t="n">
        <v>2.0273</v>
      </c>
      <c r="H18" t="n">
        <v>0.3418483</v>
      </c>
      <c r="I18" t="n">
        <v>0.05743393</v>
      </c>
      <c r="J18" t="n">
        <v>1.918437</v>
      </c>
      <c r="K18" t="n">
        <v>30.8508</v>
      </c>
      <c r="L18" t="n">
        <v>123.45</v>
      </c>
      <c r="M18" t="n">
        <v>80.98700332</v>
      </c>
      <c r="N18" t="n">
        <v>110.936</v>
      </c>
      <c r="O18" t="n">
        <v>100</v>
      </c>
      <c r="P18" t="n">
        <v>6.27</v>
      </c>
      <c r="Q18" t="n">
        <v>6.95</v>
      </c>
    </row>
    <row r="19">
      <c r="A19" t="n">
        <v>450</v>
      </c>
      <c r="B19" t="n">
        <v>0.3362</v>
      </c>
      <c r="C19" t="n">
        <v>0.038</v>
      </c>
      <c r="D19" t="n">
        <v>1.77211</v>
      </c>
      <c r="E19" t="n">
        <v>0.370702</v>
      </c>
      <c r="F19" t="n">
        <v>0.08945599999999999</v>
      </c>
      <c r="G19" t="n">
        <v>1.9948</v>
      </c>
      <c r="H19" t="n">
        <v>0.3224637</v>
      </c>
      <c r="I19" t="n">
        <v>0.06472352000000001</v>
      </c>
      <c r="J19" t="n">
        <v>1.848545</v>
      </c>
      <c r="K19" t="n">
        <v>33.0859</v>
      </c>
      <c r="L19" t="n">
        <v>124</v>
      </c>
      <c r="M19" t="n">
        <v>87.19803353</v>
      </c>
      <c r="N19" t="n">
        <v>117.008</v>
      </c>
      <c r="O19" t="n">
        <v>100</v>
      </c>
      <c r="P19" t="n">
        <v>6.63</v>
      </c>
      <c r="Q19" t="n">
        <v>7.19</v>
      </c>
    </row>
    <row r="20">
      <c r="A20" t="n">
        <v>455</v>
      </c>
      <c r="B20" t="n">
        <v>0.3187</v>
      </c>
      <c r="C20" t="n">
        <v>0.048</v>
      </c>
      <c r="D20" t="n">
        <v>1.7441</v>
      </c>
      <c r="E20" t="n">
        <v>0.342957</v>
      </c>
      <c r="F20" t="n">
        <v>0.106256</v>
      </c>
      <c r="G20" t="n">
        <v>1.9007</v>
      </c>
      <c r="H20" t="n">
        <v>0.2826646</v>
      </c>
      <c r="I20" t="n">
        <v>0.07238339000000001</v>
      </c>
      <c r="J20" t="n">
        <v>1.664439</v>
      </c>
      <c r="K20" t="n">
        <v>35.4068</v>
      </c>
      <c r="L20" t="n">
        <v>123.6</v>
      </c>
      <c r="M20" t="n">
        <v>88.88248828</v>
      </c>
      <c r="N20" t="n">
        <v>117.41</v>
      </c>
      <c r="O20" t="n">
        <v>100</v>
      </c>
      <c r="P20" t="n">
        <v>6.93</v>
      </c>
      <c r="Q20" t="n">
        <v>7.12</v>
      </c>
    </row>
    <row r="21">
      <c r="A21" t="n">
        <v>460</v>
      </c>
      <c r="B21" t="n">
        <v>0.2908</v>
      </c>
      <c r="C21" t="n">
        <v>0.06</v>
      </c>
      <c r="D21" t="n">
        <v>1.6692</v>
      </c>
      <c r="E21" t="n">
        <v>0.302273</v>
      </c>
      <c r="F21" t="n">
        <v>0.128201</v>
      </c>
      <c r="G21" t="n">
        <v>1.74537</v>
      </c>
      <c r="H21" t="n">
        <v>0.2485254</v>
      </c>
      <c r="I21" t="n">
        <v>0.08514816</v>
      </c>
      <c r="J21" t="n">
        <v>1.522157</v>
      </c>
      <c r="K21" t="n">
        <v>37.8121</v>
      </c>
      <c r="L21" t="n">
        <v>123.1</v>
      </c>
      <c r="M21" t="n">
        <v>90.56694303</v>
      </c>
      <c r="N21" t="n">
        <v>117.812</v>
      </c>
      <c r="O21" t="n">
        <v>100</v>
      </c>
      <c r="P21" t="n">
        <v>7.19</v>
      </c>
      <c r="Q21" t="n">
        <v>6.72</v>
      </c>
    </row>
    <row r="22">
      <c r="A22" t="n">
        <v>465</v>
      </c>
      <c r="B22" t="n">
        <v>0.2511</v>
      </c>
      <c r="C22" t="n">
        <v>0.07389999999999999</v>
      </c>
      <c r="D22" t="n">
        <v>1.5281</v>
      </c>
      <c r="E22" t="n">
        <v>0.254085</v>
      </c>
      <c r="F22" t="n">
        <v>0.152761</v>
      </c>
      <c r="G22" t="n">
        <v>1.5549</v>
      </c>
      <c r="H22" t="n">
        <v>0.2219781</v>
      </c>
      <c r="I22" t="n">
        <v>0.1060145</v>
      </c>
      <c r="J22" t="n">
        <v>1.42844</v>
      </c>
      <c r="K22" t="n">
        <v>40.3002</v>
      </c>
      <c r="L22" t="n">
        <v>123.3</v>
      </c>
      <c r="M22" t="n">
        <v>90.94778248999999</v>
      </c>
      <c r="N22" t="n">
        <v>116.336</v>
      </c>
      <c r="O22" t="n">
        <v>100</v>
      </c>
      <c r="P22" t="n">
        <v>7.4</v>
      </c>
      <c r="Q22" t="n">
        <v>6.13</v>
      </c>
    </row>
    <row r="23">
      <c r="A23" t="n">
        <v>470</v>
      </c>
      <c r="B23" t="n">
        <v>0.19536</v>
      </c>
      <c r="C23" t="n">
        <v>0.09098000000000001</v>
      </c>
      <c r="D23" t="n">
        <v>1.28764</v>
      </c>
      <c r="E23" t="n">
        <v>0.195618</v>
      </c>
      <c r="F23" t="n">
        <v>0.18519</v>
      </c>
      <c r="G23" t="n">
        <v>1.31756</v>
      </c>
      <c r="H23" t="n">
        <v>0.1806905</v>
      </c>
      <c r="I23" t="n">
        <v>0.1298957</v>
      </c>
      <c r="J23" t="n">
        <v>1.25061</v>
      </c>
      <c r="K23" t="n">
        <v>42.8693</v>
      </c>
      <c r="L23" t="n">
        <v>123.8</v>
      </c>
      <c r="M23" t="n">
        <v>91.32862195</v>
      </c>
      <c r="N23" t="n">
        <v>114.861</v>
      </c>
      <c r="O23" t="n">
        <v>100</v>
      </c>
      <c r="P23" t="n">
        <v>7.54</v>
      </c>
      <c r="Q23" t="n">
        <v>5.46</v>
      </c>
    </row>
    <row r="24">
      <c r="A24" t="n">
        <v>475</v>
      </c>
      <c r="B24" t="n">
        <v>0.1421</v>
      </c>
      <c r="C24" t="n">
        <v>0.1126</v>
      </c>
      <c r="D24" t="n">
        <v>1.0419</v>
      </c>
      <c r="E24" t="n">
        <v>0.132349</v>
      </c>
      <c r="F24" t="n">
        <v>0.21994</v>
      </c>
      <c r="G24" t="n">
        <v>1.0302</v>
      </c>
      <c r="H24" t="n">
        <v>0.129192</v>
      </c>
      <c r="I24" t="n">
        <v>0.1535066</v>
      </c>
      <c r="J24" t="n">
        <v>0.9991789</v>
      </c>
      <c r="K24" t="n">
        <v>45.5174</v>
      </c>
      <c r="L24" t="n">
        <v>124.09</v>
      </c>
      <c r="M24" t="n">
        <v>93.20075466999999</v>
      </c>
      <c r="N24" t="n">
        <v>115.392</v>
      </c>
      <c r="O24" t="n">
        <v>100</v>
      </c>
      <c r="P24" t="n">
        <v>7.62</v>
      </c>
      <c r="Q24" t="n">
        <v>4.79</v>
      </c>
    </row>
    <row r="25">
      <c r="A25" t="n">
        <v>480</v>
      </c>
      <c r="B25" t="n">
        <v>0.09564</v>
      </c>
      <c r="C25" t="n">
        <v>0.13902</v>
      </c>
      <c r="D25" t="n">
        <v>0.81295</v>
      </c>
      <c r="E25" t="n">
        <v>0.080507</v>
      </c>
      <c r="F25" t="n">
        <v>0.253589</v>
      </c>
      <c r="G25" t="n">
        <v>0.772125</v>
      </c>
      <c r="H25" t="n">
        <v>0.08182895</v>
      </c>
      <c r="I25" t="n">
        <v>0.1788048</v>
      </c>
      <c r="J25" t="n">
        <v>0.7552379</v>
      </c>
      <c r="K25" t="n">
        <v>48.2423</v>
      </c>
      <c r="L25" t="n">
        <v>123.9</v>
      </c>
      <c r="M25" t="n">
        <v>95.07288739000001</v>
      </c>
      <c r="N25" t="n">
        <v>115.923</v>
      </c>
      <c r="O25" t="n">
        <v>100</v>
      </c>
      <c r="P25" t="n">
        <v>7.65</v>
      </c>
      <c r="Q25" t="n">
        <v>5.66</v>
      </c>
    </row>
    <row r="26">
      <c r="A26" t="n">
        <v>485</v>
      </c>
      <c r="B26" t="n">
        <v>0.05795</v>
      </c>
      <c r="C26" t="n">
        <v>0.1693</v>
      </c>
      <c r="D26" t="n">
        <v>0.6162</v>
      </c>
      <c r="E26" t="n">
        <v>0.041072</v>
      </c>
      <c r="F26" t="n">
        <v>0.297665</v>
      </c>
      <c r="G26" t="n">
        <v>0.57006</v>
      </c>
      <c r="H26" t="n">
        <v>0.04600865</v>
      </c>
      <c r="I26" t="n">
        <v>0.2064828</v>
      </c>
      <c r="J26" t="n">
        <v>0.5617313</v>
      </c>
      <c r="K26" t="n">
        <v>51.0418</v>
      </c>
      <c r="L26" t="n">
        <v>122.92</v>
      </c>
      <c r="M26" t="n">
        <v>93.50370698</v>
      </c>
      <c r="N26" t="n">
        <v>112.367</v>
      </c>
      <c r="O26" t="n">
        <v>100</v>
      </c>
      <c r="P26" t="n">
        <v>7.62</v>
      </c>
      <c r="Q26" t="n">
        <v>14.29</v>
      </c>
    </row>
    <row r="27">
      <c r="A27" t="n">
        <v>490</v>
      </c>
      <c r="B27" t="n">
        <v>0.03201</v>
      </c>
      <c r="C27" t="n">
        <v>0.20802</v>
      </c>
      <c r="D27" t="n">
        <v>0.46518</v>
      </c>
      <c r="E27" t="n">
        <v>0.016172</v>
      </c>
      <c r="F27" t="n">
        <v>0.339133</v>
      </c>
      <c r="G27" t="n">
        <v>0.415254</v>
      </c>
      <c r="H27" t="n">
        <v>0.02083981</v>
      </c>
      <c r="I27" t="n">
        <v>0.237916</v>
      </c>
      <c r="J27" t="n">
        <v>0.4099313</v>
      </c>
      <c r="K27" t="n">
        <v>53.9132</v>
      </c>
      <c r="L27" t="n">
        <v>120.7</v>
      </c>
      <c r="M27" t="n">
        <v>91.93452658</v>
      </c>
      <c r="N27" t="n">
        <v>108.811</v>
      </c>
      <c r="O27" t="n">
        <v>100</v>
      </c>
      <c r="P27" t="n">
        <v>7.62</v>
      </c>
      <c r="Q27" t="n">
        <v>14.96</v>
      </c>
    </row>
    <row r="28">
      <c r="A28" t="n">
        <v>495</v>
      </c>
      <c r="B28" t="n">
        <v>0.0147</v>
      </c>
      <c r="C28" t="n">
        <v>0.2586</v>
      </c>
      <c r="D28" t="n">
        <v>0.3533</v>
      </c>
      <c r="E28" t="n">
        <v>0.005132</v>
      </c>
      <c r="F28" t="n">
        <v>0.395379</v>
      </c>
      <c r="G28" t="n">
        <v>0.302356</v>
      </c>
      <c r="H28" t="n">
        <v>0.007097731</v>
      </c>
      <c r="I28" t="n">
        <v>0.285068</v>
      </c>
      <c r="J28" t="n">
        <v>0.3105939</v>
      </c>
      <c r="K28" t="n">
        <v>56.8539</v>
      </c>
      <c r="L28" t="n">
        <v>116.9</v>
      </c>
      <c r="M28" t="n">
        <v>93.81766964000001</v>
      </c>
      <c r="N28" t="n">
        <v>109.082</v>
      </c>
      <c r="O28" t="n">
        <v>100</v>
      </c>
      <c r="P28" t="n">
        <v>7.45</v>
      </c>
      <c r="Q28" t="n">
        <v>8.970000000000001</v>
      </c>
    </row>
    <row r="29">
      <c r="A29" t="n">
        <v>500</v>
      </c>
      <c r="B29" t="n">
        <v>0.0049</v>
      </c>
      <c r="C29" t="n">
        <v>0.323</v>
      </c>
      <c r="D29" t="n">
        <v>0.272</v>
      </c>
      <c r="E29" t="n">
        <v>0.003816</v>
      </c>
      <c r="F29" t="n">
        <v>0.460777</v>
      </c>
      <c r="G29" t="n">
        <v>0.218502</v>
      </c>
      <c r="H29" t="n">
        <v>0.002461588</v>
      </c>
      <c r="I29" t="n">
        <v>0.3483536</v>
      </c>
      <c r="J29" t="n">
        <v>0.2376753</v>
      </c>
      <c r="K29" t="n">
        <v>59.8611</v>
      </c>
      <c r="L29" t="n">
        <v>112.1</v>
      </c>
      <c r="M29" t="n">
        <v>95.7008127</v>
      </c>
      <c r="N29" t="n">
        <v>109.354</v>
      </c>
      <c r="O29" t="n">
        <v>100</v>
      </c>
      <c r="P29" t="n">
        <v>7.28</v>
      </c>
      <c r="Q29" t="n">
        <v>4.72</v>
      </c>
    </row>
    <row r="30">
      <c r="A30" t="n">
        <v>505</v>
      </c>
      <c r="B30" t="n">
        <v>0.0024</v>
      </c>
      <c r="C30" t="n">
        <v>0.4073</v>
      </c>
      <c r="D30" t="n">
        <v>0.2123</v>
      </c>
      <c r="E30" t="n">
        <v>0.015444</v>
      </c>
      <c r="F30" t="n">
        <v>0.5313600000000001</v>
      </c>
      <c r="G30" t="n">
        <v>0.159249</v>
      </c>
      <c r="H30" t="n">
        <v>0.003649178</v>
      </c>
      <c r="I30" t="n">
        <v>0.4277595</v>
      </c>
      <c r="J30" t="n">
        <v>0.1720018</v>
      </c>
      <c r="K30" t="n">
        <v>62.932</v>
      </c>
      <c r="L30" t="n">
        <v>106.98</v>
      </c>
      <c r="M30" t="n">
        <v>96.14758949</v>
      </c>
      <c r="N30" t="n">
        <v>108.578</v>
      </c>
      <c r="O30" t="n">
        <v>100</v>
      </c>
      <c r="P30" t="n">
        <v>7.15</v>
      </c>
      <c r="Q30" t="n">
        <v>2.33</v>
      </c>
    </row>
    <row r="31">
      <c r="A31" t="n">
        <v>510</v>
      </c>
      <c r="B31" t="n">
        <v>0.009299999999999999</v>
      </c>
      <c r="C31" t="n">
        <v>0.503</v>
      </c>
      <c r="D31" t="n">
        <v>0.1582</v>
      </c>
      <c r="E31" t="n">
        <v>0.037465</v>
      </c>
      <c r="F31" t="n">
        <v>0.606741</v>
      </c>
      <c r="G31" t="n">
        <v>0.112044</v>
      </c>
      <c r="H31" t="n">
        <v>0.01556989</v>
      </c>
      <c r="I31" t="n">
        <v>0.5204972</v>
      </c>
      <c r="J31" t="n">
        <v>0.1176796</v>
      </c>
      <c r="K31" t="n">
        <v>66.0635</v>
      </c>
      <c r="L31" t="n">
        <v>102.3</v>
      </c>
      <c r="M31" t="n">
        <v>96.59436628</v>
      </c>
      <c r="N31" t="n">
        <v>107.802</v>
      </c>
      <c r="O31" t="n">
        <v>100</v>
      </c>
      <c r="P31" t="n">
        <v>7.05</v>
      </c>
      <c r="Q31" t="n">
        <v>1.47</v>
      </c>
    </row>
    <row r="32">
      <c r="A32" t="n">
        <v>515</v>
      </c>
      <c r="B32" t="n">
        <v>0.0291</v>
      </c>
      <c r="C32" t="n">
        <v>0.6082</v>
      </c>
      <c r="D32" t="n">
        <v>0.1117</v>
      </c>
      <c r="E32" t="n">
        <v>0.071358</v>
      </c>
      <c r="F32" t="n">
        <v>0.68566</v>
      </c>
      <c r="G32" t="n">
        <v>0.082248</v>
      </c>
      <c r="H32" t="n">
        <v>0.04315171</v>
      </c>
      <c r="I32" t="n">
        <v>0.6206256</v>
      </c>
      <c r="J32" t="n">
        <v>0.08283548</v>
      </c>
      <c r="K32" t="n">
        <v>69.2525</v>
      </c>
      <c r="L32" t="n">
        <v>98.81</v>
      </c>
      <c r="M32" t="n">
        <v>96.85486896</v>
      </c>
      <c r="N32" t="n">
        <v>106.296</v>
      </c>
      <c r="O32" t="n">
        <v>100</v>
      </c>
      <c r="P32" t="n">
        <v>7.04</v>
      </c>
      <c r="Q32" t="n">
        <v>1.1</v>
      </c>
    </row>
    <row r="33">
      <c r="A33" t="n">
        <v>520</v>
      </c>
      <c r="B33" t="n">
        <v>0.06327000000000001</v>
      </c>
      <c r="C33" t="n">
        <v>0.71</v>
      </c>
      <c r="D33" t="n">
        <v>0.07825</v>
      </c>
      <c r="E33" t="n">
        <v>0.117749</v>
      </c>
      <c r="F33" t="n">
        <v>0.761757</v>
      </c>
      <c r="G33" t="n">
        <v>0.060709</v>
      </c>
      <c r="H33" t="n">
        <v>0.07962917</v>
      </c>
      <c r="I33" t="n">
        <v>0.718089</v>
      </c>
      <c r="J33" t="n">
        <v>0.05650407</v>
      </c>
      <c r="K33" t="n">
        <v>72.49590000000001</v>
      </c>
      <c r="L33" t="n">
        <v>96.90000000000001</v>
      </c>
      <c r="M33" t="n">
        <v>97.11537163</v>
      </c>
      <c r="N33" t="n">
        <v>104.79</v>
      </c>
      <c r="O33" t="n">
        <v>100</v>
      </c>
      <c r="P33" t="n">
        <v>7.16</v>
      </c>
      <c r="Q33" t="n">
        <v>0.89</v>
      </c>
    </row>
    <row r="34">
      <c r="A34" t="n">
        <v>525</v>
      </c>
      <c r="B34" t="n">
        <v>0.1096</v>
      </c>
      <c r="C34" t="n">
        <v>0.7932</v>
      </c>
      <c r="D34" t="n">
        <v>0.05725</v>
      </c>
      <c r="E34" t="n">
        <v>0.172953</v>
      </c>
      <c r="F34" t="n">
        <v>0.82333</v>
      </c>
      <c r="G34" t="n">
        <v>0.04305</v>
      </c>
      <c r="H34" t="n">
        <v>0.1268467</v>
      </c>
      <c r="I34" t="n">
        <v>0.7946448</v>
      </c>
      <c r="J34" t="n">
        <v>0.03751912</v>
      </c>
      <c r="K34" t="n">
        <v>75.7903</v>
      </c>
      <c r="L34" t="n">
        <v>96.78</v>
      </c>
      <c r="M34" t="n">
        <v>99.60212998999999</v>
      </c>
      <c r="N34" t="n">
        <v>106.239</v>
      </c>
      <c r="O34" t="n">
        <v>100</v>
      </c>
      <c r="P34" t="n">
        <v>7.47</v>
      </c>
      <c r="Q34" t="n">
        <v>0.83</v>
      </c>
    </row>
    <row r="35">
      <c r="A35" t="n">
        <v>530</v>
      </c>
      <c r="B35" t="n">
        <v>0.1655</v>
      </c>
      <c r="C35" t="n">
        <v>0.862</v>
      </c>
      <c r="D35" t="n">
        <v>0.04216</v>
      </c>
      <c r="E35" t="n">
        <v>0.236491</v>
      </c>
      <c r="F35" t="n">
        <v>0.875211</v>
      </c>
      <c r="G35" t="n">
        <v>0.030451</v>
      </c>
      <c r="H35" t="n">
        <v>0.1818026</v>
      </c>
      <c r="I35" t="n">
        <v>0.8575799</v>
      </c>
      <c r="J35" t="n">
        <v>0.02438164</v>
      </c>
      <c r="K35" t="n">
        <v>79.1326</v>
      </c>
      <c r="L35" t="n">
        <v>98</v>
      </c>
      <c r="M35" t="n">
        <v>102.0888883</v>
      </c>
      <c r="N35" t="n">
        <v>107.689</v>
      </c>
      <c r="O35" t="n">
        <v>100</v>
      </c>
      <c r="P35" t="n">
        <v>8.039999999999999</v>
      </c>
      <c r="Q35" t="n">
        <v>1.18</v>
      </c>
    </row>
    <row r="36">
      <c r="A36" t="n">
        <v>535</v>
      </c>
      <c r="B36" t="n">
        <v>0.22575</v>
      </c>
      <c r="C36" t="n">
        <v>0.9148500000000001</v>
      </c>
      <c r="D36" t="n">
        <v>0.02984</v>
      </c>
      <c r="E36" t="n">
        <v>0.304213</v>
      </c>
      <c r="F36" t="n">
        <v>0.92381</v>
      </c>
      <c r="G36" t="n">
        <v>0.020584</v>
      </c>
      <c r="H36" t="n">
        <v>0.2405015</v>
      </c>
      <c r="I36" t="n">
        <v>0.9071347</v>
      </c>
      <c r="J36" t="n">
        <v>0.01566174</v>
      </c>
      <c r="K36" t="n">
        <v>82.5193</v>
      </c>
      <c r="L36" t="n">
        <v>99.94</v>
      </c>
      <c r="M36" t="n">
        <v>101.4186239</v>
      </c>
      <c r="N36" t="n">
        <v>106.047</v>
      </c>
      <c r="O36" t="n">
        <v>100</v>
      </c>
      <c r="P36" t="n">
        <v>8.880000000000001</v>
      </c>
      <c r="Q36" t="n">
        <v>4.9</v>
      </c>
    </row>
    <row r="37">
      <c r="A37" t="n">
        <v>540</v>
      </c>
      <c r="B37" t="n">
        <v>0.2904</v>
      </c>
      <c r="C37" t="n">
        <v>0.954</v>
      </c>
      <c r="D37" t="n">
        <v>0.0203</v>
      </c>
      <c r="E37" t="n">
        <v>0.376772</v>
      </c>
      <c r="F37" t="n">
        <v>0.961988</v>
      </c>
      <c r="G37" t="n">
        <v>0.013676</v>
      </c>
      <c r="H37" t="n">
        <v>0.3098117</v>
      </c>
      <c r="I37" t="n">
        <v>0.9544675</v>
      </c>
      <c r="J37" t="n">
        <v>0.00984647</v>
      </c>
      <c r="K37" t="n">
        <v>85.947</v>
      </c>
      <c r="L37" t="n">
        <v>102.1</v>
      </c>
      <c r="M37" t="n">
        <v>100.7483594</v>
      </c>
      <c r="N37" t="n">
        <v>104.405</v>
      </c>
      <c r="O37" t="n">
        <v>100</v>
      </c>
      <c r="P37" t="n">
        <v>10.01</v>
      </c>
      <c r="Q37" t="n">
        <v>39.59</v>
      </c>
    </row>
    <row r="38">
      <c r="A38" t="n">
        <v>545</v>
      </c>
      <c r="B38" t="n">
        <v>0.3597</v>
      </c>
      <c r="C38" t="n">
        <v>0.9802999999999999</v>
      </c>
      <c r="D38" t="n">
        <v>0.0134</v>
      </c>
      <c r="E38" t="n">
        <v>0.451584</v>
      </c>
      <c r="F38" t="n">
        <v>0.9822</v>
      </c>
      <c r="G38" t="n">
        <v>0.007918</v>
      </c>
      <c r="H38" t="n">
        <v>0.3804244</v>
      </c>
      <c r="I38" t="n">
        <v>0.9814106</v>
      </c>
      <c r="J38" t="n">
        <v>0.006131421</v>
      </c>
      <c r="K38" t="n">
        <v>89.41240000000001</v>
      </c>
      <c r="L38" t="n">
        <v>103.95</v>
      </c>
      <c r="M38" t="n">
        <v>101.5311104</v>
      </c>
      <c r="N38" t="n">
        <v>104.225</v>
      </c>
      <c r="O38" t="n">
        <v>100</v>
      </c>
      <c r="P38" t="n">
        <v>24.88</v>
      </c>
      <c r="Q38" t="n">
        <v>72.84</v>
      </c>
    </row>
    <row r="39">
      <c r="A39" t="n">
        <v>550</v>
      </c>
      <c r="B39" t="n">
        <v>0.43345</v>
      </c>
      <c r="C39" t="n">
        <v>0.99495</v>
      </c>
      <c r="D39" t="n">
        <v>0.008750000000000001</v>
      </c>
      <c r="E39" t="n">
        <v>0.529826</v>
      </c>
      <c r="F39" t="n">
        <v>0.991761</v>
      </c>
      <c r="G39" t="n">
        <v>0.003988</v>
      </c>
      <c r="H39" t="n">
        <v>0.4494206</v>
      </c>
      <c r="I39" t="n">
        <v>0.9890228</v>
      </c>
      <c r="J39" t="n">
        <v>0.003790291</v>
      </c>
      <c r="K39" t="n">
        <v>92.91200000000001</v>
      </c>
      <c r="L39" t="n">
        <v>105.2</v>
      </c>
      <c r="M39" t="n">
        <v>102.3138613</v>
      </c>
      <c r="N39" t="n">
        <v>104.046</v>
      </c>
      <c r="O39" t="n">
        <v>100</v>
      </c>
      <c r="P39" t="n">
        <v>16.64</v>
      </c>
      <c r="Q39" t="n">
        <v>32.61</v>
      </c>
    </row>
    <row r="40">
      <c r="A40" t="n">
        <v>555</v>
      </c>
      <c r="B40" t="n">
        <v>0.51205</v>
      </c>
      <c r="C40" t="n">
        <v>1</v>
      </c>
      <c r="D40" t="n">
        <v>0.00575</v>
      </c>
      <c r="E40" t="n">
        <v>0.616053</v>
      </c>
      <c r="F40" t="n">
        <v>0.9991100000000001</v>
      </c>
      <c r="G40" t="n">
        <v>0.001091</v>
      </c>
      <c r="H40" t="n">
        <v>0.5280233</v>
      </c>
      <c r="I40" t="n">
        <v>0.9994608</v>
      </c>
      <c r="J40" t="n">
        <v>0.002327186</v>
      </c>
      <c r="K40" t="n">
        <v>96.4423</v>
      </c>
      <c r="L40" t="n">
        <v>105.67</v>
      </c>
      <c r="M40" t="n">
        <v>101.1569307</v>
      </c>
      <c r="N40" t="n">
        <v>102.023</v>
      </c>
      <c r="O40" t="n">
        <v>100</v>
      </c>
      <c r="P40" t="n">
        <v>14.59</v>
      </c>
      <c r="Q40" t="n">
        <v>7.52</v>
      </c>
    </row>
    <row r="41">
      <c r="A41" t="n">
        <v>560</v>
      </c>
      <c r="B41" t="n">
        <v>0.5945</v>
      </c>
      <c r="C41" t="n">
        <v>0.995</v>
      </c>
      <c r="D41" t="n">
        <v>0.0039</v>
      </c>
      <c r="E41" t="n">
        <v>0.705224</v>
      </c>
      <c r="F41" t="n">
        <v>0.99734</v>
      </c>
      <c r="G41" t="n">
        <v>0</v>
      </c>
      <c r="H41" t="n">
        <v>0.6133784</v>
      </c>
      <c r="I41" t="n">
        <v>0.9967737</v>
      </c>
      <c r="J41" t="n">
        <v>0.001432128</v>
      </c>
      <c r="K41" t="n">
        <v>100</v>
      </c>
      <c r="L41" t="n">
        <v>105.3</v>
      </c>
      <c r="M41" t="n">
        <v>100</v>
      </c>
      <c r="N41" t="n">
        <v>100</v>
      </c>
      <c r="O41" t="n">
        <v>100</v>
      </c>
      <c r="P41" t="n">
        <v>16.16</v>
      </c>
      <c r="Q41" t="n">
        <v>2.83</v>
      </c>
    </row>
    <row r="42">
      <c r="A42" t="n">
        <v>565</v>
      </c>
      <c r="B42" t="n">
        <v>0.6784</v>
      </c>
      <c r="C42" t="n">
        <v>0.9786</v>
      </c>
      <c r="D42" t="n">
        <v>0.00275</v>
      </c>
      <c r="E42" t="n">
        <v>0.793832</v>
      </c>
      <c r="F42" t="n">
        <v>0.98238</v>
      </c>
      <c r="G42" t="n">
        <v>0</v>
      </c>
      <c r="H42" t="n">
        <v>0.7016774</v>
      </c>
      <c r="I42" t="n">
        <v>0.9902549</v>
      </c>
      <c r="J42" t="n">
        <v>0.0008822531</v>
      </c>
      <c r="K42" t="n">
        <v>103.582</v>
      </c>
      <c r="L42" t="n">
        <v>104.11</v>
      </c>
      <c r="M42" t="n">
        <v>98.86872517</v>
      </c>
      <c r="N42" t="n">
        <v>98.1671</v>
      </c>
      <c r="O42" t="n">
        <v>100</v>
      </c>
      <c r="P42" t="n">
        <v>17.56</v>
      </c>
      <c r="Q42" t="n">
        <v>1.96</v>
      </c>
    </row>
    <row r="43">
      <c r="A43" t="n">
        <v>570</v>
      </c>
      <c r="B43" t="n">
        <v>0.7621</v>
      </c>
      <c r="C43" t="n">
        <v>0.952</v>
      </c>
      <c r="D43" t="n">
        <v>0.0021</v>
      </c>
      <c r="E43" t="n">
        <v>0.878655</v>
      </c>
      <c r="F43" t="n">
        <v>0.955552</v>
      </c>
      <c r="G43" t="n">
        <v>0</v>
      </c>
      <c r="H43" t="n">
        <v>0.796775</v>
      </c>
      <c r="I43" t="n">
        <v>0.9732611</v>
      </c>
      <c r="J43" t="n">
        <v>0.0005452416</v>
      </c>
      <c r="K43" t="n">
        <v>107.184</v>
      </c>
      <c r="L43" t="n">
        <v>102.3</v>
      </c>
      <c r="M43" t="n">
        <v>97.73745035</v>
      </c>
      <c r="N43" t="n">
        <v>96.3342</v>
      </c>
      <c r="O43" t="n">
        <v>100</v>
      </c>
      <c r="P43" t="n">
        <v>18.62</v>
      </c>
      <c r="Q43" t="n">
        <v>1.67</v>
      </c>
    </row>
    <row r="44">
      <c r="A44" t="n">
        <v>575</v>
      </c>
      <c r="B44" t="n">
        <v>0.8425</v>
      </c>
      <c r="C44" t="n">
        <v>0.9154</v>
      </c>
      <c r="D44" t="n">
        <v>0.0018</v>
      </c>
      <c r="E44" t="n">
        <v>0.951162</v>
      </c>
      <c r="F44" t="n">
        <v>0.915175</v>
      </c>
      <c r="G44" t="n">
        <v>0</v>
      </c>
      <c r="H44" t="n">
        <v>0.8853375999999999</v>
      </c>
      <c r="I44" t="n">
        <v>0.9424569</v>
      </c>
      <c r="J44" t="n">
        <v>0.0003386739</v>
      </c>
      <c r="K44" t="n">
        <v>110.803</v>
      </c>
      <c r="L44" t="n">
        <v>100.15</v>
      </c>
      <c r="M44" t="n">
        <v>98.33051967999999</v>
      </c>
      <c r="N44" t="n">
        <v>96.0611</v>
      </c>
      <c r="O44" t="n">
        <v>100</v>
      </c>
      <c r="P44" t="n">
        <v>21.47</v>
      </c>
      <c r="Q44" t="n">
        <v>4.43</v>
      </c>
    </row>
    <row r="45">
      <c r="A45" t="n">
        <v>580</v>
      </c>
      <c r="B45" t="n">
        <v>0.9163</v>
      </c>
      <c r="C45" t="n">
        <v>0.87</v>
      </c>
      <c r="D45" t="n">
        <v>0.00165</v>
      </c>
      <c r="E45" t="n">
        <v>1.01416</v>
      </c>
      <c r="F45" t="n">
        <v>0.868934</v>
      </c>
      <c r="G45" t="n">
        <v>0</v>
      </c>
      <c r="H45" t="n">
        <v>0.9638388</v>
      </c>
      <c r="I45" t="n">
        <v>0.8963613</v>
      </c>
      <c r="J45" t="n">
        <v>0.0002117772</v>
      </c>
      <c r="K45" t="n">
        <v>114.436</v>
      </c>
      <c r="L45" t="n">
        <v>97.8</v>
      </c>
      <c r="M45" t="n">
        <v>98.92358901</v>
      </c>
      <c r="N45" t="n">
        <v>95.788</v>
      </c>
      <c r="O45" t="n">
        <v>100</v>
      </c>
      <c r="P45" t="n">
        <v>22.79</v>
      </c>
      <c r="Q45" t="n">
        <v>11.28</v>
      </c>
    </row>
    <row r="46">
      <c r="A46" t="n">
        <v>585</v>
      </c>
      <c r="B46" t="n">
        <v>0.9786</v>
      </c>
      <c r="C46" t="n">
        <v>0.8163</v>
      </c>
      <c r="D46" t="n">
        <v>0.0014</v>
      </c>
      <c r="E46" t="n">
        <v>1.0743</v>
      </c>
      <c r="F46" t="n">
        <v>0.825623</v>
      </c>
      <c r="G46" t="n">
        <v>0</v>
      </c>
      <c r="H46" t="n">
        <v>1.051011</v>
      </c>
      <c r="I46" t="n">
        <v>0.8587203</v>
      </c>
      <c r="J46" t="n">
        <v>0.0001335031</v>
      </c>
      <c r="K46" t="n">
        <v>118.08</v>
      </c>
      <c r="L46" t="n">
        <v>95.43000000000001</v>
      </c>
      <c r="M46" t="n">
        <v>96.21691851999999</v>
      </c>
      <c r="N46" t="n">
        <v>92.2368</v>
      </c>
      <c r="O46" t="n">
        <v>100</v>
      </c>
      <c r="P46" t="n">
        <v>19.29</v>
      </c>
      <c r="Q46" t="n">
        <v>14.76</v>
      </c>
    </row>
    <row r="47">
      <c r="A47" t="n">
        <v>590</v>
      </c>
      <c r="B47" t="n">
        <v>1.0263</v>
      </c>
      <c r="C47" t="n">
        <v>0.757</v>
      </c>
      <c r="D47" t="n">
        <v>0.0011</v>
      </c>
      <c r="E47" t="n">
        <v>1.11852</v>
      </c>
      <c r="F47" t="n">
        <v>0.777405</v>
      </c>
      <c r="G47" t="n">
        <v>0</v>
      </c>
      <c r="H47" t="n">
        <v>1.109767</v>
      </c>
      <c r="I47" t="n">
        <v>0.8115868000000001</v>
      </c>
      <c r="J47" t="n">
        <v>8.494468e-05</v>
      </c>
      <c r="K47" t="n">
        <v>121.731</v>
      </c>
      <c r="L47" t="n">
        <v>93.2</v>
      </c>
      <c r="M47" t="n">
        <v>93.51024803</v>
      </c>
      <c r="N47" t="n">
        <v>88.68559999999999</v>
      </c>
      <c r="O47" t="n">
        <v>100</v>
      </c>
      <c r="P47" t="n">
        <v>18.66</v>
      </c>
      <c r="Q47" t="n">
        <v>12.73</v>
      </c>
    </row>
    <row r="48">
      <c r="A48" t="n">
        <v>595</v>
      </c>
      <c r="B48" t="n">
        <v>1.0567</v>
      </c>
      <c r="C48" t="n">
        <v>0.6949</v>
      </c>
      <c r="D48" t="n">
        <v>0.001</v>
      </c>
      <c r="E48" t="n">
        <v>1.1343</v>
      </c>
      <c r="F48" t="n">
        <v>0.720353</v>
      </c>
      <c r="G48" t="n">
        <v>0</v>
      </c>
      <c r="H48" t="n">
        <v>1.14362</v>
      </c>
      <c r="I48" t="n">
        <v>0.7544785000000001</v>
      </c>
      <c r="J48" t="n">
        <v>5.460706e-05</v>
      </c>
      <c r="K48" t="n">
        <v>125.386</v>
      </c>
      <c r="L48" t="n">
        <v>91.22</v>
      </c>
      <c r="M48" t="n">
        <v>95.60799686</v>
      </c>
      <c r="N48" t="n">
        <v>89.3459</v>
      </c>
      <c r="O48" t="n">
        <v>100</v>
      </c>
      <c r="P48" t="n">
        <v>17.73</v>
      </c>
      <c r="Q48" t="n">
        <v>9.74</v>
      </c>
    </row>
    <row r="49">
      <c r="A49" t="n">
        <v>600</v>
      </c>
      <c r="B49" t="n">
        <v>1.0622</v>
      </c>
      <c r="C49" t="n">
        <v>0.631</v>
      </c>
      <c r="D49" t="n">
        <v>0.0008</v>
      </c>
      <c r="E49" t="n">
        <v>1.12399</v>
      </c>
      <c r="F49" t="n">
        <v>0.658341</v>
      </c>
      <c r="G49" t="n">
        <v>0</v>
      </c>
      <c r="H49" t="n">
        <v>1.151033</v>
      </c>
      <c r="I49" t="n">
        <v>0.6918553</v>
      </c>
      <c r="J49" t="n">
        <v>3.549661e-05</v>
      </c>
      <c r="K49" t="n">
        <v>129.043</v>
      </c>
      <c r="L49" t="n">
        <v>89.7</v>
      </c>
      <c r="M49" t="n">
        <v>97.70574569</v>
      </c>
      <c r="N49" t="n">
        <v>90.00620000000001</v>
      </c>
      <c r="O49" t="n">
        <v>100</v>
      </c>
      <c r="P49" t="n">
        <v>16.54</v>
      </c>
      <c r="Q49" t="n">
        <v>7.33</v>
      </c>
    </row>
    <row r="50">
      <c r="A50" t="n">
        <v>605</v>
      </c>
      <c r="B50" t="n">
        <v>1.0456</v>
      </c>
      <c r="C50" t="n">
        <v>0.5668</v>
      </c>
      <c r="D50" t="n">
        <v>0.0005999999999999999</v>
      </c>
      <c r="E50" t="n">
        <v>1.0891</v>
      </c>
      <c r="F50" t="n">
        <v>0.593878</v>
      </c>
      <c r="G50" t="n">
        <v>0</v>
      </c>
      <c r="H50" t="n">
        <v>1.134757</v>
      </c>
      <c r="I50" t="n">
        <v>0.6270066</v>
      </c>
      <c r="J50" t="n">
        <v>2.334738e-05</v>
      </c>
      <c r="K50" t="n">
        <v>132.697</v>
      </c>
      <c r="L50" t="n">
        <v>88.83</v>
      </c>
      <c r="M50" t="n">
        <v>98.49879516</v>
      </c>
      <c r="N50" t="n">
        <v>89.8026</v>
      </c>
      <c r="O50" t="n">
        <v>100</v>
      </c>
      <c r="P50" t="n">
        <v>15.21</v>
      </c>
      <c r="Q50" t="n">
        <v>9.720000000000001</v>
      </c>
    </row>
    <row r="51">
      <c r="A51" t="n">
        <v>610</v>
      </c>
      <c r="B51" t="n">
        <v>1.0026</v>
      </c>
      <c r="C51" t="n">
        <v>0.503</v>
      </c>
      <c r="D51" t="n">
        <v>0.00034</v>
      </c>
      <c r="E51" t="n">
        <v>1.03048</v>
      </c>
      <c r="F51" t="n">
        <v>0.527963</v>
      </c>
      <c r="G51" t="n">
        <v>0</v>
      </c>
      <c r="H51" t="n">
        <v>1.083928</v>
      </c>
      <c r="I51" t="n">
        <v>0.5583746000000001</v>
      </c>
      <c r="J51" t="n">
        <v>1.554631e-05</v>
      </c>
      <c r="K51" t="n">
        <v>136.346</v>
      </c>
      <c r="L51" t="n">
        <v>88.40000000000001</v>
      </c>
      <c r="M51" t="n">
        <v>99.29184462000001</v>
      </c>
      <c r="N51" t="n">
        <v>89.59910000000001</v>
      </c>
      <c r="O51" t="n">
        <v>100</v>
      </c>
      <c r="P51" t="n">
        <v>13.8</v>
      </c>
      <c r="Q51" t="n">
        <v>55.27</v>
      </c>
    </row>
    <row r="52">
      <c r="A52" t="n">
        <v>615</v>
      </c>
      <c r="B52" t="n">
        <v>0.9384</v>
      </c>
      <c r="C52" t="n">
        <v>0.4412</v>
      </c>
      <c r="D52" t="n">
        <v>0.00024</v>
      </c>
      <c r="E52" t="n">
        <v>0.95074</v>
      </c>
      <c r="F52" t="n">
        <v>0.461834</v>
      </c>
      <c r="G52" t="n">
        <v>0</v>
      </c>
      <c r="H52" t="n">
        <v>1.007344</v>
      </c>
      <c r="I52" t="n">
        <v>0.489595</v>
      </c>
      <c r="J52" t="n">
        <v>1.048387e-05</v>
      </c>
      <c r="K52" t="n">
        <v>139.988</v>
      </c>
      <c r="L52" t="n">
        <v>88.19</v>
      </c>
      <c r="M52" t="n">
        <v>99.1798948</v>
      </c>
      <c r="N52" t="n">
        <v>88.6489</v>
      </c>
      <c r="O52" t="n">
        <v>100</v>
      </c>
      <c r="P52" t="n">
        <v>12.36</v>
      </c>
      <c r="Q52" t="n">
        <v>42.58</v>
      </c>
    </row>
    <row r="53">
      <c r="A53" t="n">
        <v>620</v>
      </c>
      <c r="B53" t="n">
        <v>0.85445</v>
      </c>
      <c r="C53" t="n">
        <v>0.381</v>
      </c>
      <c r="D53" t="n">
        <v>0.00019</v>
      </c>
      <c r="E53" t="n">
        <v>0.856297</v>
      </c>
      <c r="F53" t="n">
        <v>0.398057</v>
      </c>
      <c r="G53" t="n">
        <v>0</v>
      </c>
      <c r="H53" t="n">
        <v>0.9142877</v>
      </c>
      <c r="I53" t="n">
        <v>0.4229897</v>
      </c>
      <c r="J53" t="n">
        <v>0</v>
      </c>
      <c r="K53" t="n">
        <v>143.618</v>
      </c>
      <c r="L53" t="n">
        <v>88.09999999999999</v>
      </c>
      <c r="M53" t="n">
        <v>99.06794497999999</v>
      </c>
      <c r="N53" t="n">
        <v>87.6987</v>
      </c>
      <c r="O53" t="n">
        <v>100</v>
      </c>
      <c r="P53" t="n">
        <v>10.95</v>
      </c>
      <c r="Q53" t="n">
        <v>13.18</v>
      </c>
    </row>
    <row r="54">
      <c r="A54" t="n">
        <v>625</v>
      </c>
      <c r="B54" t="n">
        <v>0.7514</v>
      </c>
      <c r="C54" t="n">
        <v>0.321</v>
      </c>
      <c r="D54" t="n">
        <v>0.0001</v>
      </c>
      <c r="E54" t="n">
        <v>0.75493</v>
      </c>
      <c r="F54" t="n">
        <v>0.339554</v>
      </c>
      <c r="G54" t="n">
        <v>0</v>
      </c>
      <c r="H54" t="n">
        <v>0.8135565</v>
      </c>
      <c r="I54" t="n">
        <v>0.3609245</v>
      </c>
      <c r="J54" t="n">
        <v>0</v>
      </c>
      <c r="K54" t="n">
        <v>147.235</v>
      </c>
      <c r="L54" t="n">
        <v>88.06</v>
      </c>
      <c r="M54" t="n">
        <v>97.40931053</v>
      </c>
      <c r="N54" t="n">
        <v>85.4936</v>
      </c>
      <c r="O54" t="n">
        <v>100</v>
      </c>
      <c r="P54" t="n">
        <v>9.65</v>
      </c>
      <c r="Q54" t="n">
        <v>13.16</v>
      </c>
    </row>
    <row r="55">
      <c r="A55" t="n">
        <v>630</v>
      </c>
      <c r="B55" t="n">
        <v>0.6424</v>
      </c>
      <c r="C55" t="n">
        <v>0.265</v>
      </c>
      <c r="D55" t="n">
        <v>5e-05</v>
      </c>
      <c r="E55" t="n">
        <v>0.647467</v>
      </c>
      <c r="F55" t="n">
        <v>0.283493</v>
      </c>
      <c r="G55" t="n">
        <v>0</v>
      </c>
      <c r="H55" t="n">
        <v>0.6924717</v>
      </c>
      <c r="I55" t="n">
        <v>0.2980865</v>
      </c>
      <c r="J55" t="n">
        <v>0</v>
      </c>
      <c r="K55" t="n">
        <v>150.836</v>
      </c>
      <c r="L55" t="n">
        <v>88</v>
      </c>
      <c r="M55" t="n">
        <v>95.75067609</v>
      </c>
      <c r="N55" t="n">
        <v>83.2886</v>
      </c>
      <c r="O55" t="n">
        <v>100</v>
      </c>
      <c r="P55" t="n">
        <v>8.4</v>
      </c>
      <c r="Q55" t="n">
        <v>12.26</v>
      </c>
    </row>
    <row r="56">
      <c r="A56" t="n">
        <v>635</v>
      </c>
      <c r="B56" t="n">
        <v>0.5419</v>
      </c>
      <c r="C56" t="n">
        <v>0.217</v>
      </c>
      <c r="D56" t="n">
        <v>3e-05</v>
      </c>
      <c r="E56" t="n">
        <v>0.53511</v>
      </c>
      <c r="F56" t="n">
        <v>0.228254</v>
      </c>
      <c r="G56" t="n">
        <v>0</v>
      </c>
      <c r="H56" t="n">
        <v>0.575541</v>
      </c>
      <c r="I56" t="n">
        <v>0.2416902</v>
      </c>
      <c r="J56" t="n">
        <v>0</v>
      </c>
      <c r="K56" t="n">
        <v>154.418</v>
      </c>
      <c r="L56" t="n">
        <v>87.86</v>
      </c>
      <c r="M56" t="n">
        <v>97.32205722</v>
      </c>
      <c r="N56" t="n">
        <v>83.4939</v>
      </c>
      <c r="O56" t="n">
        <v>100</v>
      </c>
      <c r="P56" t="n">
        <v>7.32</v>
      </c>
      <c r="Q56" t="n">
        <v>5.11</v>
      </c>
    </row>
    <row r="57">
      <c r="A57" t="n">
        <v>640</v>
      </c>
      <c r="B57" t="n">
        <v>0.4479</v>
      </c>
      <c r="C57" t="n">
        <v>0.175</v>
      </c>
      <c r="D57" t="n">
        <v>2e-05</v>
      </c>
      <c r="E57" t="n">
        <v>0.431567</v>
      </c>
      <c r="F57" t="n">
        <v>0.179828</v>
      </c>
      <c r="G57" t="n">
        <v>0</v>
      </c>
      <c r="H57" t="n">
        <v>0.4731224</v>
      </c>
      <c r="I57" t="n">
        <v>0.1943124</v>
      </c>
      <c r="J57" t="n">
        <v>0</v>
      </c>
      <c r="K57" t="n">
        <v>157.979</v>
      </c>
      <c r="L57" t="n">
        <v>87.8</v>
      </c>
      <c r="M57" t="n">
        <v>98.89343834</v>
      </c>
      <c r="N57" t="n">
        <v>83.6992</v>
      </c>
      <c r="O57" t="n">
        <v>100</v>
      </c>
      <c r="P57" t="n">
        <v>6.31</v>
      </c>
      <c r="Q57" t="n">
        <v>2.07</v>
      </c>
    </row>
    <row r="58">
      <c r="A58" t="n">
        <v>645</v>
      </c>
      <c r="B58" t="n">
        <v>0.3608</v>
      </c>
      <c r="C58" t="n">
        <v>0.1382</v>
      </c>
      <c r="D58" t="n">
        <v>1e-05</v>
      </c>
      <c r="E58" t="n">
        <v>0.34369</v>
      </c>
      <c r="F58" t="n">
        <v>0.140211</v>
      </c>
      <c r="G58" t="n">
        <v>0</v>
      </c>
      <c r="H58" t="n">
        <v>0.3844986</v>
      </c>
      <c r="I58" t="n">
        <v>0.1547397</v>
      </c>
      <c r="J58" t="n">
        <v>0</v>
      </c>
      <c r="K58" t="n">
        <v>161.516</v>
      </c>
      <c r="L58" t="n">
        <v>87.98999999999999</v>
      </c>
      <c r="M58" t="n">
        <v>97.29942953</v>
      </c>
      <c r="N58" t="n">
        <v>81.863</v>
      </c>
      <c r="O58" t="n">
        <v>100</v>
      </c>
      <c r="P58" t="n">
        <v>5.43</v>
      </c>
      <c r="Q58" t="n">
        <v>2.34</v>
      </c>
    </row>
    <row r="59">
      <c r="A59" t="n">
        <v>650</v>
      </c>
      <c r="B59" t="n">
        <v>0.2835</v>
      </c>
      <c r="C59" t="n">
        <v>0.107</v>
      </c>
      <c r="D59" t="n">
        <v>0</v>
      </c>
      <c r="E59" t="n">
        <v>0.268329</v>
      </c>
      <c r="F59" t="n">
        <v>0.107633</v>
      </c>
      <c r="G59" t="n">
        <v>0</v>
      </c>
      <c r="H59" t="n">
        <v>0.2997374</v>
      </c>
      <c r="I59" t="n">
        <v>0.119312</v>
      </c>
      <c r="J59" t="n">
        <v>0</v>
      </c>
      <c r="K59" t="n">
        <v>165.028</v>
      </c>
      <c r="L59" t="n">
        <v>88.2</v>
      </c>
      <c r="M59" t="n">
        <v>95.70542073</v>
      </c>
      <c r="N59" t="n">
        <v>80.02679999999999</v>
      </c>
      <c r="O59" t="n">
        <v>100</v>
      </c>
      <c r="P59" t="n">
        <v>4.68</v>
      </c>
      <c r="Q59" t="n">
        <v>3.58</v>
      </c>
    </row>
    <row r="60">
      <c r="A60" t="n">
        <v>655</v>
      </c>
      <c r="B60" t="n">
        <v>0.2187</v>
      </c>
      <c r="C60" t="n">
        <v>0.08160000000000001</v>
      </c>
      <c r="D60" t="n">
        <v>0</v>
      </c>
      <c r="E60" t="n">
        <v>0.2043</v>
      </c>
      <c r="F60" t="n">
        <v>0.081187</v>
      </c>
      <c r="G60" t="n">
        <v>0</v>
      </c>
      <c r="H60" t="n">
        <v>0.2277792</v>
      </c>
      <c r="I60" t="n">
        <v>0.08979594</v>
      </c>
      <c r="J60" t="n">
        <v>0</v>
      </c>
      <c r="K60" t="n">
        <v>168.51</v>
      </c>
      <c r="L60" t="n">
        <v>88.2</v>
      </c>
      <c r="M60" t="n">
        <v>96.96979888</v>
      </c>
      <c r="N60" t="n">
        <v>80.1207</v>
      </c>
      <c r="O60" t="n">
        <v>100</v>
      </c>
      <c r="P60" t="n">
        <v>4.02</v>
      </c>
      <c r="Q60" t="n">
        <v>3.01</v>
      </c>
    </row>
    <row r="61">
      <c r="A61" t="n">
        <v>660</v>
      </c>
      <c r="B61" t="n">
        <v>0.1649</v>
      </c>
      <c r="C61" t="n">
        <v>0.061</v>
      </c>
      <c r="D61" t="n">
        <v>0</v>
      </c>
      <c r="E61" t="n">
        <v>0.152568</v>
      </c>
      <c r="F61" t="n">
        <v>0.060281</v>
      </c>
      <c r="G61" t="n">
        <v>0</v>
      </c>
      <c r="H61" t="n">
        <v>0.1707914</v>
      </c>
      <c r="I61" t="n">
        <v>0.06671045</v>
      </c>
      <c r="J61" t="n">
        <v>0</v>
      </c>
      <c r="K61" t="n">
        <v>171.963</v>
      </c>
      <c r="L61" t="n">
        <v>87.90000000000001</v>
      </c>
      <c r="M61" t="n">
        <v>98.23417703</v>
      </c>
      <c r="N61" t="n">
        <v>80.2146</v>
      </c>
      <c r="O61" t="n">
        <v>100</v>
      </c>
      <c r="P61" t="n">
        <v>3.45</v>
      </c>
      <c r="Q61" t="n">
        <v>2.48</v>
      </c>
    </row>
    <row r="62">
      <c r="A62" t="n">
        <v>665</v>
      </c>
      <c r="B62" t="n">
        <v>0.1212</v>
      </c>
      <c r="C62" t="n">
        <v>0.04458</v>
      </c>
      <c r="D62" t="n">
        <v>0</v>
      </c>
      <c r="E62" t="n">
        <v>0.11221</v>
      </c>
      <c r="F62" t="n">
        <v>0.044096</v>
      </c>
      <c r="G62" t="n">
        <v>0</v>
      </c>
      <c r="H62" t="n">
        <v>0.1263808</v>
      </c>
      <c r="I62" t="n">
        <v>0.04899699</v>
      </c>
      <c r="J62" t="n">
        <v>0</v>
      </c>
      <c r="K62" t="n">
        <v>175.383</v>
      </c>
      <c r="L62" t="n">
        <v>87.22</v>
      </c>
      <c r="M62" t="n">
        <v>100.6442479</v>
      </c>
      <c r="N62" t="n">
        <v>81.2462</v>
      </c>
      <c r="O62" t="n">
        <v>100</v>
      </c>
      <c r="P62" t="n">
        <v>2.96</v>
      </c>
      <c r="Q62" t="n">
        <v>2.14</v>
      </c>
    </row>
    <row r="63">
      <c r="A63" t="n">
        <v>670</v>
      </c>
      <c r="B63" t="n">
        <v>0.08740000000000001</v>
      </c>
      <c r="C63" t="n">
        <v>0.032</v>
      </c>
      <c r="D63" t="n">
        <v>0</v>
      </c>
      <c r="E63" t="n">
        <v>0.081261</v>
      </c>
      <c r="F63" t="n">
        <v>0.0318</v>
      </c>
      <c r="G63" t="n">
        <v>0</v>
      </c>
      <c r="H63" t="n">
        <v>0.09224597</v>
      </c>
      <c r="I63" t="n">
        <v>0.03559982</v>
      </c>
      <c r="J63" t="n">
        <v>0</v>
      </c>
      <c r="K63" t="n">
        <v>178.769</v>
      </c>
      <c r="L63" t="n">
        <v>86.3</v>
      </c>
      <c r="M63" t="n">
        <v>103.0543188</v>
      </c>
      <c r="N63" t="n">
        <v>82.2778</v>
      </c>
      <c r="O63" t="n">
        <v>100</v>
      </c>
      <c r="P63" t="n">
        <v>2.55</v>
      </c>
      <c r="Q63" t="n">
        <v>1.54</v>
      </c>
    </row>
    <row r="64">
      <c r="A64" t="n">
        <v>675</v>
      </c>
      <c r="B64" t="n">
        <v>0.0636</v>
      </c>
      <c r="C64" t="n">
        <v>0.0232</v>
      </c>
      <c r="D64" t="n">
        <v>0</v>
      </c>
      <c r="E64" t="n">
        <v>0.05793</v>
      </c>
      <c r="F64" t="n">
        <v>0.022602</v>
      </c>
      <c r="G64" t="n">
        <v>0</v>
      </c>
      <c r="H64" t="n">
        <v>0.0663996</v>
      </c>
      <c r="I64" t="n">
        <v>0.02554223</v>
      </c>
      <c r="J64" t="n">
        <v>0</v>
      </c>
      <c r="K64" t="n">
        <v>182.118</v>
      </c>
      <c r="L64" t="n">
        <v>85.3</v>
      </c>
      <c r="M64" t="n">
        <v>101.1196364</v>
      </c>
      <c r="N64" t="n">
        <v>80.28100000000001</v>
      </c>
      <c r="O64" t="n">
        <v>100</v>
      </c>
      <c r="P64" t="n">
        <v>2.19</v>
      </c>
      <c r="Q64" t="n">
        <v>1.33</v>
      </c>
    </row>
    <row r="65">
      <c r="A65" t="n">
        <v>680</v>
      </c>
      <c r="B65" t="n">
        <v>0.04677</v>
      </c>
      <c r="C65" t="n">
        <v>0.017</v>
      </c>
      <c r="D65" t="n">
        <v>0</v>
      </c>
      <c r="E65" t="n">
        <v>0.040851</v>
      </c>
      <c r="F65" t="n">
        <v>0.015905</v>
      </c>
      <c r="G65" t="n">
        <v>0</v>
      </c>
      <c r="H65" t="n">
        <v>0.04710606</v>
      </c>
      <c r="I65" t="n">
        <v>0.01807939</v>
      </c>
      <c r="J65" t="n">
        <v>0</v>
      </c>
      <c r="K65" t="n">
        <v>185.429</v>
      </c>
      <c r="L65" t="n">
        <v>84</v>
      </c>
      <c r="M65" t="n">
        <v>99.18495403</v>
      </c>
      <c r="N65" t="n">
        <v>78.2842</v>
      </c>
      <c r="O65" t="n">
        <v>100</v>
      </c>
      <c r="P65" t="n">
        <v>1.89</v>
      </c>
      <c r="Q65" t="n">
        <v>1.46</v>
      </c>
    </row>
    <row r="66">
      <c r="A66" t="n">
        <v>685</v>
      </c>
      <c r="B66" t="n">
        <v>0.0329</v>
      </c>
      <c r="C66" t="n">
        <v>0.01192</v>
      </c>
      <c r="D66" t="n">
        <v>0</v>
      </c>
      <c r="E66" t="n">
        <v>0.028623</v>
      </c>
      <c r="F66" t="n">
        <v>0.01113</v>
      </c>
      <c r="G66" t="n">
        <v>0</v>
      </c>
      <c r="H66" t="n">
        <v>0.03292138</v>
      </c>
      <c r="I66" t="n">
        <v>0.01261573</v>
      </c>
      <c r="J66" t="n">
        <v>0</v>
      </c>
      <c r="K66" t="n">
        <v>188.701</v>
      </c>
      <c r="L66" t="n">
        <v>82.20999999999999</v>
      </c>
      <c r="M66" t="n">
        <v>93.30456624999999</v>
      </c>
      <c r="N66" t="n">
        <v>74.0027</v>
      </c>
      <c r="O66" t="n">
        <v>100</v>
      </c>
      <c r="P66" t="n">
        <v>1.64</v>
      </c>
      <c r="Q66" t="n">
        <v>1.94</v>
      </c>
    </row>
    <row r="67">
      <c r="A67" t="n">
        <v>690</v>
      </c>
      <c r="B67" t="n">
        <v>0.0227</v>
      </c>
      <c r="C67" t="n">
        <v>0.00821</v>
      </c>
      <c r="D67" t="n">
        <v>0</v>
      </c>
      <c r="E67" t="n">
        <v>0.019941</v>
      </c>
      <c r="F67" t="n">
        <v>0.007749</v>
      </c>
      <c r="G67" t="n">
        <v>0</v>
      </c>
      <c r="H67" t="n">
        <v>0.02262306</v>
      </c>
      <c r="I67" t="n">
        <v>0.008661284</v>
      </c>
      <c r="J67" t="n">
        <v>0</v>
      </c>
      <c r="K67" t="n">
        <v>191.931</v>
      </c>
      <c r="L67" t="n">
        <v>80.2</v>
      </c>
      <c r="M67" t="n">
        <v>87.42417847</v>
      </c>
      <c r="N67" t="n">
        <v>69.7213</v>
      </c>
      <c r="O67" t="n">
        <v>100</v>
      </c>
      <c r="P67" t="n">
        <v>1.53</v>
      </c>
      <c r="Q67" t="n">
        <v>2</v>
      </c>
    </row>
    <row r="68">
      <c r="A68" t="n">
        <v>695</v>
      </c>
      <c r="B68" t="n">
        <v>0.01584</v>
      </c>
      <c r="C68" t="n">
        <v>0.005723</v>
      </c>
      <c r="D68" t="n">
        <v>0</v>
      </c>
      <c r="E68" t="n">
        <v>0.013842</v>
      </c>
      <c r="F68" t="n">
        <v>0.005375</v>
      </c>
      <c r="G68" t="n">
        <v>0</v>
      </c>
      <c r="H68" t="n">
        <v>0.01575417</v>
      </c>
      <c r="I68" t="n">
        <v>0.006027677</v>
      </c>
      <c r="J68" t="n">
        <v>0</v>
      </c>
      <c r="K68" t="n">
        <v>195.118</v>
      </c>
      <c r="L68" t="n">
        <v>78.23999999999999</v>
      </c>
      <c r="M68" t="n">
        <v>89.53855661999999</v>
      </c>
      <c r="N68" t="n">
        <v>70.6652</v>
      </c>
      <c r="O68" t="n">
        <v>100</v>
      </c>
      <c r="P68" t="n">
        <v>1.27</v>
      </c>
      <c r="Q68" t="n">
        <v>1.2</v>
      </c>
    </row>
    <row r="69">
      <c r="A69" t="n">
        <v>700</v>
      </c>
      <c r="B69" t="n">
        <v>0.011359</v>
      </c>
      <c r="C69" t="n">
        <v>0.004102</v>
      </c>
      <c r="D69" t="n">
        <v>0</v>
      </c>
      <c r="E69" t="n">
        <v>0.009577</v>
      </c>
      <c r="F69" t="n">
        <v>0.003718</v>
      </c>
      <c r="G69" t="n">
        <v>0</v>
      </c>
      <c r="H69" t="n">
        <v>0.01096778</v>
      </c>
      <c r="I69" t="n">
        <v>0.004195941</v>
      </c>
      <c r="J69" t="n">
        <v>0</v>
      </c>
      <c r="K69" t="n">
        <v>198.261</v>
      </c>
      <c r="L69" t="n">
        <v>76.3</v>
      </c>
      <c r="M69" t="n">
        <v>91.65293478</v>
      </c>
      <c r="N69" t="n">
        <v>71.6091</v>
      </c>
      <c r="O69" t="n">
        <v>100</v>
      </c>
      <c r="P69" t="n">
        <v>1.1</v>
      </c>
      <c r="Q69" t="n">
        <v>1.35</v>
      </c>
    </row>
    <row r="70">
      <c r="A70" t="n">
        <v>705</v>
      </c>
      <c r="B70" t="n">
        <v>0.008111</v>
      </c>
      <c r="C70" t="n">
        <v>0.002929</v>
      </c>
      <c r="D70" t="n">
        <v>0</v>
      </c>
      <c r="E70" t="n">
        <v>0.006605</v>
      </c>
      <c r="F70" t="n">
        <v>0.002565</v>
      </c>
      <c r="G70" t="n">
        <v>0</v>
      </c>
      <c r="H70" t="n">
        <v>0.00760875</v>
      </c>
      <c r="I70" t="n">
        <v>0.002910864</v>
      </c>
      <c r="J70" t="n">
        <v>0</v>
      </c>
      <c r="K70" t="n">
        <v>201.359</v>
      </c>
      <c r="L70" t="n">
        <v>74.36</v>
      </c>
      <c r="M70" t="n">
        <v>92.29325599000001</v>
      </c>
      <c r="N70" t="n">
        <v>72.979</v>
      </c>
      <c r="O70" t="n">
        <v>100</v>
      </c>
      <c r="P70" t="n">
        <v>0.99</v>
      </c>
      <c r="Q70" t="n">
        <v>4.1</v>
      </c>
    </row>
    <row r="71">
      <c r="A71" t="n">
        <v>710</v>
      </c>
      <c r="B71" t="n">
        <v>0.00579</v>
      </c>
      <c r="C71" t="n">
        <v>0.002091</v>
      </c>
      <c r="D71" t="n">
        <v>0</v>
      </c>
      <c r="E71" t="n">
        <v>0.004553</v>
      </c>
      <c r="F71" t="n">
        <v>0.001768</v>
      </c>
      <c r="G71" t="n">
        <v>0</v>
      </c>
      <c r="H71" t="n">
        <v>0.005214608</v>
      </c>
      <c r="I71" t="n">
        <v>0.001995557</v>
      </c>
      <c r="J71" t="n">
        <v>0</v>
      </c>
      <c r="K71" t="n">
        <v>204.409</v>
      </c>
      <c r="L71" t="n">
        <v>72.40000000000001</v>
      </c>
      <c r="M71" t="n">
        <v>92.93357721</v>
      </c>
      <c r="N71" t="n">
        <v>74.349</v>
      </c>
      <c r="O71" t="n">
        <v>100</v>
      </c>
      <c r="P71" t="n">
        <v>0.88</v>
      </c>
      <c r="Q71" t="n">
        <v>5.58</v>
      </c>
    </row>
    <row r="72">
      <c r="A72" t="n">
        <v>715</v>
      </c>
      <c r="B72" t="n">
        <v>0.004109</v>
      </c>
      <c r="C72" t="n">
        <v>0.001484</v>
      </c>
      <c r="D72" t="n">
        <v>0</v>
      </c>
      <c r="E72" t="n">
        <v>0.003145</v>
      </c>
      <c r="F72" t="n">
        <v>0.001222</v>
      </c>
      <c r="G72" t="n">
        <v>0</v>
      </c>
      <c r="H72" t="n">
        <v>0.003569452</v>
      </c>
      <c r="I72" t="n">
        <v>0.001367022</v>
      </c>
      <c r="J72" t="n">
        <v>0</v>
      </c>
      <c r="K72" t="n">
        <v>207.411</v>
      </c>
      <c r="L72" t="n">
        <v>70.40000000000001</v>
      </c>
      <c r="M72" t="n">
        <v>84.912496</v>
      </c>
      <c r="N72" t="n">
        <v>67.9765</v>
      </c>
      <c r="O72" t="n">
        <v>100</v>
      </c>
      <c r="P72" t="n">
        <v>0.76</v>
      </c>
      <c r="Q72" t="n">
        <v>2.51</v>
      </c>
    </row>
    <row r="73">
      <c r="A73" t="n">
        <v>720</v>
      </c>
      <c r="B73" t="n">
        <v>0.002899</v>
      </c>
      <c r="C73" t="n">
        <v>0.001047</v>
      </c>
      <c r="D73" t="n">
        <v>0</v>
      </c>
      <c r="E73" t="n">
        <v>0.002175</v>
      </c>
      <c r="F73" t="n">
        <v>0.000846</v>
      </c>
      <c r="G73" t="n">
        <v>0</v>
      </c>
      <c r="H73" t="n">
        <v>0.002464821</v>
      </c>
      <c r="I73" t="n">
        <v>0.0009447269</v>
      </c>
      <c r="J73" t="n">
        <v>0</v>
      </c>
      <c r="K73" t="n">
        <v>210.365</v>
      </c>
      <c r="L73" t="n">
        <v>68.3</v>
      </c>
      <c r="M73" t="n">
        <v>76.89141479</v>
      </c>
      <c r="N73" t="n">
        <v>61.604</v>
      </c>
      <c r="O73" t="n">
        <v>100</v>
      </c>
      <c r="P73" t="n">
        <v>0.68</v>
      </c>
      <c r="Q73" t="n">
        <v>0.57</v>
      </c>
    </row>
    <row r="74">
      <c r="A74" t="n">
        <v>725</v>
      </c>
      <c r="B74" t="n">
        <v>0.002049</v>
      </c>
      <c r="C74" t="n">
        <v>0.00074</v>
      </c>
      <c r="D74" t="n">
        <v>0</v>
      </c>
      <c r="E74" t="n">
        <v>0.001506</v>
      </c>
      <c r="F74" t="n">
        <v>0.000586</v>
      </c>
      <c r="G74" t="n">
        <v>0</v>
      </c>
      <c r="H74" t="n">
        <v>0.001703876</v>
      </c>
      <c r="I74" t="n">
        <v>0.000653705</v>
      </c>
      <c r="J74" t="n">
        <v>0</v>
      </c>
      <c r="K74" t="n">
        <v>213.268</v>
      </c>
      <c r="L74" t="n">
        <v>66.3</v>
      </c>
      <c r="M74" t="n">
        <v>81.72145021999999</v>
      </c>
      <c r="N74" t="n">
        <v>65.7448</v>
      </c>
      <c r="O74" t="n">
        <v>100</v>
      </c>
      <c r="P74" t="n">
        <v>0.61</v>
      </c>
      <c r="Q74" t="n">
        <v>0.27</v>
      </c>
    </row>
    <row r="75">
      <c r="A75" t="n">
        <v>730</v>
      </c>
      <c r="B75" t="n">
        <v>0.00144</v>
      </c>
      <c r="C75" t="n">
        <v>0.00052</v>
      </c>
      <c r="D75" t="n">
        <v>0</v>
      </c>
      <c r="E75" t="n">
        <v>0.001045</v>
      </c>
      <c r="F75" t="n">
        <v>0.000407</v>
      </c>
      <c r="G75" t="n">
        <v>0</v>
      </c>
      <c r="H75" t="n">
        <v>0.001186238</v>
      </c>
      <c r="I75" t="n">
        <v>0.000455597</v>
      </c>
      <c r="J75" t="n">
        <v>0</v>
      </c>
      <c r="K75" t="n">
        <v>216.12</v>
      </c>
      <c r="L75" t="n">
        <v>64.40000000000001</v>
      </c>
      <c r="M75" t="n">
        <v>86.55148565</v>
      </c>
      <c r="N75" t="n">
        <v>69.8856</v>
      </c>
      <c r="O75" t="n">
        <v>100</v>
      </c>
      <c r="P75" t="n">
        <v>0.5600000000000001</v>
      </c>
      <c r="Q75" t="n">
        <v>0.23</v>
      </c>
    </row>
    <row r="76">
      <c r="A76" t="n">
        <v>735</v>
      </c>
      <c r="B76" t="n">
        <v>0.001</v>
      </c>
      <c r="C76" t="n">
        <v>0.000361</v>
      </c>
      <c r="D76" t="n">
        <v>0</v>
      </c>
      <c r="E76" t="n">
        <v>0.000727</v>
      </c>
      <c r="F76" t="n">
        <v>0.000284</v>
      </c>
      <c r="G76" t="n">
        <v>0</v>
      </c>
      <c r="H76" t="n">
        <v>0.0008269535</v>
      </c>
      <c r="I76" t="n">
        <v>0.0003179738</v>
      </c>
      <c r="J76" t="n">
        <v>0</v>
      </c>
      <c r="K76" t="n">
        <v>218.92</v>
      </c>
      <c r="L76" t="n">
        <v>62.8</v>
      </c>
      <c r="M76" t="n">
        <v>89.58684015</v>
      </c>
      <c r="N76" t="n">
        <v>72.4863</v>
      </c>
      <c r="O76" t="n">
        <v>100</v>
      </c>
      <c r="P76" t="n">
        <v>0.54</v>
      </c>
      <c r="Q76" t="n">
        <v>0.21</v>
      </c>
    </row>
    <row r="77">
      <c r="A77" t="n">
        <v>740</v>
      </c>
      <c r="B77" t="n">
        <v>0.00069</v>
      </c>
      <c r="C77" t="n">
        <v>0.000249</v>
      </c>
      <c r="D77" t="n">
        <v>0</v>
      </c>
      <c r="E77" t="n">
        <v>0.000508</v>
      </c>
      <c r="F77" t="n">
        <v>0.000199</v>
      </c>
      <c r="G77" t="n">
        <v>0</v>
      </c>
      <c r="H77" t="n">
        <v>0.0005758303</v>
      </c>
      <c r="I77" t="n">
        <v>0.0002217445</v>
      </c>
      <c r="J77" t="n">
        <v>0</v>
      </c>
      <c r="K77" t="n">
        <v>221.667</v>
      </c>
      <c r="L77" t="n">
        <v>61.5</v>
      </c>
      <c r="M77" t="n">
        <v>92.62219465</v>
      </c>
      <c r="N77" t="n">
        <v>75.087</v>
      </c>
      <c r="O77" t="n">
        <v>100</v>
      </c>
      <c r="P77" t="n">
        <v>0.51</v>
      </c>
      <c r="Q77" t="n">
        <v>0.24</v>
      </c>
    </row>
    <row r="78">
      <c r="A78" t="n">
        <v>745</v>
      </c>
      <c r="B78" t="n">
        <v>0.000476</v>
      </c>
      <c r="C78" t="n">
        <v>0.000172</v>
      </c>
      <c r="D78" t="n">
        <v>0</v>
      </c>
      <c r="E78" t="n">
        <v>0.000356</v>
      </c>
      <c r="F78" t="n">
        <v>0.00014</v>
      </c>
      <c r="G78" t="n">
        <v>0</v>
      </c>
      <c r="H78" t="n">
        <v>0.0004058303</v>
      </c>
      <c r="I78" t="n">
        <v>0.0001565566</v>
      </c>
      <c r="J78" t="n">
        <v>0</v>
      </c>
      <c r="K78" t="n">
        <v>224.361</v>
      </c>
      <c r="L78" t="n">
        <v>60.2</v>
      </c>
      <c r="M78" t="n">
        <v>85.44379069</v>
      </c>
      <c r="N78" t="n">
        <v>69.3398</v>
      </c>
      <c r="O78" t="n">
        <v>100</v>
      </c>
      <c r="P78" t="n">
        <v>0.47</v>
      </c>
      <c r="Q78" t="n">
        <v>0.24</v>
      </c>
    </row>
    <row r="79">
      <c r="A79" t="n">
        <v>750</v>
      </c>
      <c r="B79" t="n">
        <v>0.000332</v>
      </c>
      <c r="C79" t="n">
        <v>0.00012</v>
      </c>
      <c r="D79" t="n">
        <v>0</v>
      </c>
      <c r="E79" t="n">
        <v>0.000251</v>
      </c>
      <c r="F79" t="n">
        <v>9.8e-05</v>
      </c>
      <c r="G79" t="n">
        <v>0</v>
      </c>
      <c r="H79" t="n">
        <v>0.0002856577</v>
      </c>
      <c r="I79" t="n">
        <v>0.0001103928</v>
      </c>
      <c r="J79" t="n">
        <v>0</v>
      </c>
      <c r="K79" t="n">
        <v>227</v>
      </c>
      <c r="L79" t="n">
        <v>59.2</v>
      </c>
      <c r="M79" t="n">
        <v>78.26538673</v>
      </c>
      <c r="N79" t="n">
        <v>63.5927</v>
      </c>
      <c r="O79" t="n">
        <v>100</v>
      </c>
      <c r="P79" t="n">
        <v>0.47</v>
      </c>
      <c r="Q79" t="n">
        <v>0.2</v>
      </c>
    </row>
    <row r="80">
      <c r="A80" t="n">
        <v>755</v>
      </c>
      <c r="B80" t="n">
        <v>0.000235</v>
      </c>
      <c r="C80" t="n">
        <v>8.500000000000001e-05</v>
      </c>
      <c r="D80" t="n">
        <v>0</v>
      </c>
      <c r="E80" t="n">
        <v>0.000178</v>
      </c>
      <c r="F80" t="n">
        <v>6.999999999999999e-05</v>
      </c>
      <c r="G80" t="n">
        <v>0</v>
      </c>
      <c r="H80" t="n">
        <v>0.0002021853</v>
      </c>
      <c r="I80" t="n">
        <v>7.827442000000001e-05</v>
      </c>
      <c r="J80" t="n">
        <v>0</v>
      </c>
      <c r="K80" t="n">
        <v>229.585</v>
      </c>
      <c r="L80" t="n">
        <v>58.5</v>
      </c>
      <c r="M80" t="n">
        <v>67.99230183</v>
      </c>
      <c r="N80" t="n">
        <v>55.0054</v>
      </c>
      <c r="O80" t="n">
        <v>100</v>
      </c>
      <c r="P80" t="n">
        <v>0.43</v>
      </c>
      <c r="Q80" t="n">
        <v>0.24</v>
      </c>
    </row>
    <row r="81">
      <c r="A81" t="n">
        <v>760</v>
      </c>
      <c r="B81" t="n">
        <v>0.000166</v>
      </c>
      <c r="C81" t="n">
        <v>6e-05</v>
      </c>
      <c r="D81" t="n">
        <v>0</v>
      </c>
      <c r="E81" t="n">
        <v>0.000126</v>
      </c>
      <c r="F81" t="n">
        <v>5e-05</v>
      </c>
      <c r="G81" t="n">
        <v>0</v>
      </c>
      <c r="H81" t="n">
        <v>0.000143827</v>
      </c>
      <c r="I81" t="n">
        <v>5.578862e-05</v>
      </c>
      <c r="J81" t="n">
        <v>0</v>
      </c>
      <c r="K81" t="n">
        <v>232.115</v>
      </c>
      <c r="L81" t="n">
        <v>58.1</v>
      </c>
      <c r="M81" t="n">
        <v>57.71921694</v>
      </c>
      <c r="N81" t="n">
        <v>46.4182</v>
      </c>
      <c r="O81" t="n">
        <v>100</v>
      </c>
      <c r="P81" t="n">
        <v>0.46</v>
      </c>
      <c r="Q81" t="n">
        <v>0.32</v>
      </c>
    </row>
    <row r="82">
      <c r="A82" t="n">
        <v>765</v>
      </c>
      <c r="B82" t="n">
        <v>0.000117</v>
      </c>
      <c r="C82" t="n">
        <v>4.2e-05</v>
      </c>
      <c r="D82" t="n">
        <v>0</v>
      </c>
      <c r="E82" t="n">
        <v>9.000000000000001e-05</v>
      </c>
      <c r="F82" t="n">
        <v>3.6e-05</v>
      </c>
      <c r="G82" t="n">
        <v>0</v>
      </c>
      <c r="H82" t="n">
        <v>0.0001024685</v>
      </c>
      <c r="I82" t="n">
        <v>3.981884e-05</v>
      </c>
      <c r="J82" t="n">
        <v>0</v>
      </c>
      <c r="K82" t="n">
        <v>234.589</v>
      </c>
      <c r="L82" t="n">
        <v>58</v>
      </c>
      <c r="M82" t="n">
        <v>70.34067036</v>
      </c>
      <c r="N82" t="n">
        <v>56.6118</v>
      </c>
      <c r="O82" t="n">
        <v>100</v>
      </c>
      <c r="P82" t="n">
        <v>0.47</v>
      </c>
      <c r="Q82" t="n">
        <v>0.26</v>
      </c>
    </row>
    <row r="83">
      <c r="A83" t="n">
        <v>770</v>
      </c>
      <c r="B83" t="n">
        <v>8.3e-05</v>
      </c>
      <c r="C83" t="n">
        <v>3e-05</v>
      </c>
      <c r="D83" t="n">
        <v>0</v>
      </c>
      <c r="E83" t="n">
        <v>6.499999999999999e-05</v>
      </c>
      <c r="F83" t="n">
        <v>2.5e-05</v>
      </c>
      <c r="G83" t="n">
        <v>0</v>
      </c>
      <c r="H83" t="n">
        <v>7.347551000000001e-05</v>
      </c>
      <c r="I83" t="n">
        <v>2.860175e-05</v>
      </c>
      <c r="J83" t="n">
        <v>0</v>
      </c>
      <c r="K83" t="n">
        <v>237.008</v>
      </c>
      <c r="L83" t="n">
        <v>58.2</v>
      </c>
      <c r="M83" t="n">
        <v>82.96212378</v>
      </c>
      <c r="N83" t="n">
        <v>66.80540000000001</v>
      </c>
      <c r="O83" t="n">
        <v>100</v>
      </c>
      <c r="P83" t="n">
        <v>0.4</v>
      </c>
      <c r="Q83" t="n">
        <v>0.16</v>
      </c>
    </row>
    <row r="84">
      <c r="A84" t="n">
        <v>775</v>
      </c>
      <c r="B84" t="n">
        <v>5.9e-05</v>
      </c>
      <c r="C84" t="n">
        <v>2.1e-05</v>
      </c>
      <c r="D84" t="n">
        <v>0</v>
      </c>
      <c r="E84" t="n">
        <v>4.6e-05</v>
      </c>
      <c r="F84" t="n">
        <v>1.8e-05</v>
      </c>
      <c r="G84" t="n">
        <v>0</v>
      </c>
      <c r="H84" t="n">
        <v>5.25987e-05</v>
      </c>
      <c r="I84" t="n">
        <v>2.051259e-05</v>
      </c>
      <c r="J84" t="n">
        <v>0</v>
      </c>
      <c r="K84" t="n">
        <v>239.37</v>
      </c>
      <c r="L84" t="n">
        <v>0</v>
      </c>
      <c r="M84" t="n">
        <v>80.63609572</v>
      </c>
      <c r="N84" t="n">
        <v>65.0941</v>
      </c>
      <c r="O84" t="n">
        <v>100</v>
      </c>
      <c r="P84" t="n">
        <v>0.33</v>
      </c>
      <c r="Q84" t="n">
        <v>0.12</v>
      </c>
    </row>
    <row r="85">
      <c r="A85" t="n">
        <v>780</v>
      </c>
      <c r="B85" t="n">
        <v>4.2e-05</v>
      </c>
      <c r="C85" t="n">
        <v>1.5e-05</v>
      </c>
      <c r="D85" t="n">
        <v>0</v>
      </c>
      <c r="E85" t="n">
        <v>3.3e-05</v>
      </c>
      <c r="F85" t="n">
        <v>1.3e-05</v>
      </c>
      <c r="G85" t="n">
        <v>0</v>
      </c>
      <c r="H85" t="n">
        <v>3.806114e-05</v>
      </c>
      <c r="I85" t="n">
        <v>1.487243e-05</v>
      </c>
      <c r="J85" t="n">
        <v>0</v>
      </c>
      <c r="K85" t="n">
        <v>241.675</v>
      </c>
      <c r="L85" t="n">
        <v>0</v>
      </c>
      <c r="M85" t="n">
        <v>78.31006766</v>
      </c>
      <c r="N85" t="n">
        <v>63.3828</v>
      </c>
      <c r="O85" t="n">
        <v>100</v>
      </c>
      <c r="P85" t="n">
        <v>0.27</v>
      </c>
      <c r="Q85" t="n">
        <v>0.09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Interpolation from 10 nm reflectance (380-730 nm) to the 5 nm grid; values beyond 730 nm are held.</t>
        </is>
      </c>
    </row>
    <row r="4">
      <c r="B4" t="n">
        <v>380</v>
      </c>
      <c r="C4" t="n">
        <v>390</v>
      </c>
      <c r="D4" t="n">
        <v>400</v>
      </c>
      <c r="E4" t="n">
        <v>410</v>
      </c>
      <c r="F4" t="n">
        <v>420</v>
      </c>
      <c r="G4" t="n">
        <v>430</v>
      </c>
      <c r="H4" t="n">
        <v>440</v>
      </c>
      <c r="I4" t="n">
        <v>450</v>
      </c>
      <c r="J4" t="n">
        <v>460</v>
      </c>
      <c r="K4" t="n">
        <v>470</v>
      </c>
      <c r="L4" t="n">
        <v>480</v>
      </c>
      <c r="M4" t="n">
        <v>490</v>
      </c>
      <c r="N4" t="n">
        <v>500</v>
      </c>
      <c r="O4" t="n">
        <v>510</v>
      </c>
      <c r="P4" t="n">
        <v>520</v>
      </c>
      <c r="Q4" t="n">
        <v>530</v>
      </c>
      <c r="R4" t="n">
        <v>540</v>
      </c>
      <c r="S4" t="n">
        <v>550</v>
      </c>
      <c r="T4" t="n">
        <v>560</v>
      </c>
      <c r="U4" t="n">
        <v>570</v>
      </c>
      <c r="V4" t="n">
        <v>580</v>
      </c>
      <c r="W4" t="n">
        <v>590</v>
      </c>
      <c r="X4" t="n">
        <v>600</v>
      </c>
      <c r="Y4" t="n">
        <v>610</v>
      </c>
      <c r="Z4" t="n">
        <v>620</v>
      </c>
      <c r="AA4" t="n">
        <v>630</v>
      </c>
      <c r="AB4" t="n">
        <v>640</v>
      </c>
      <c r="AC4" t="n">
        <v>650</v>
      </c>
      <c r="AD4" t="n">
        <v>660</v>
      </c>
      <c r="AE4" t="n">
        <v>670</v>
      </c>
      <c r="AF4" t="n">
        <v>680</v>
      </c>
      <c r="AG4" t="n">
        <v>690</v>
      </c>
      <c r="AH4" t="n">
        <v>700</v>
      </c>
      <c r="AI4" t="n">
        <v>710</v>
      </c>
      <c r="AJ4" t="n">
        <v>720</v>
      </c>
      <c r="AK4" t="n">
        <v>730</v>
      </c>
    </row>
    <row r="5">
      <c r="A5" t="n">
        <v>380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n">
        <v>385</v>
      </c>
      <c r="B6" t="n">
        <v>0.5</v>
      </c>
      <c r="C6" t="n">
        <v>0.5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n">
        <v>390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n">
        <v>395</v>
      </c>
      <c r="B8" t="n">
        <v>0</v>
      </c>
      <c r="C8" t="n">
        <v>0.5</v>
      </c>
      <c r="D8" t="n">
        <v>0.5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n">
        <v>400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n">
        <v>405</v>
      </c>
      <c r="B10" t="n">
        <v>0</v>
      </c>
      <c r="C10" t="n">
        <v>0</v>
      </c>
      <c r="D10" t="n">
        <v>0.5</v>
      </c>
      <c r="E10" t="n">
        <v>0.5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n">
        <v>410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n">
        <v>415</v>
      </c>
      <c r="B12" t="n">
        <v>0</v>
      </c>
      <c r="C12" t="n">
        <v>0</v>
      </c>
      <c r="D12" t="n">
        <v>0</v>
      </c>
      <c r="E12" t="n">
        <v>0.5</v>
      </c>
      <c r="F12" t="n">
        <v>0.5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n">
        <v>420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n">
        <v>425</v>
      </c>
      <c r="B14" t="n">
        <v>0</v>
      </c>
      <c r="C14" t="n">
        <v>0</v>
      </c>
      <c r="D14" t="n">
        <v>0</v>
      </c>
      <c r="E14" t="n">
        <v>0</v>
      </c>
      <c r="F14" t="n">
        <v>0.5</v>
      </c>
      <c r="G14" t="n">
        <v>0.5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n">
        <v>430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n">
        <v>435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</v>
      </c>
      <c r="H16" t="n">
        <v>0.5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n">
        <v>440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n">
        <v>445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0.5</v>
      </c>
      <c r="I18" t="n">
        <v>0.5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n">
        <v>450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n">
        <v>455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</v>
      </c>
      <c r="J20" t="n">
        <v>0.5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n">
        <v>460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n">
        <v>465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0.5</v>
      </c>
      <c r="K22" t="n">
        <v>0.5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n">
        <v>470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n">
        <v>475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</v>
      </c>
      <c r="L24" t="n">
        <v>0.5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n">
        <v>480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n">
        <v>485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0.5</v>
      </c>
      <c r="M26" t="n">
        <v>0.5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n">
        <v>490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n">
        <v>495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0.5</v>
      </c>
      <c r="N28" t="n">
        <v>0.5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n">
        <v>500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n">
        <v>505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0.5</v>
      </c>
      <c r="O30" t="n">
        <v>0.5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n">
        <v>510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n">
        <v>515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0.5</v>
      </c>
      <c r="P32" t="n">
        <v>0.5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n">
        <v>520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n">
        <v>525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0.5</v>
      </c>
      <c r="Q34" t="n">
        <v>0.5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n">
        <v>530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n">
        <v>535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</v>
      </c>
      <c r="R36" t="n">
        <v>0.5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n">
        <v>540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n">
        <v>545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0.5</v>
      </c>
      <c r="S38" t="n">
        <v>0.5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n">
        <v>550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n">
        <v>555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</v>
      </c>
      <c r="T40" t="n">
        <v>0.5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n">
        <v>560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n">
        <v>565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0.5</v>
      </c>
      <c r="U42" t="n">
        <v>0.5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n">
        <v>570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n">
        <v>575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0.5</v>
      </c>
      <c r="V44" t="n">
        <v>0.5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n">
        <v>580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n">
        <v>585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0.5</v>
      </c>
      <c r="W46" t="n">
        <v>0.5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n">
        <v>590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n">
        <v>595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</v>
      </c>
      <c r="X48" t="n">
        <v>0.5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n">
        <v>600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n">
        <v>605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0.5</v>
      </c>
      <c r="Y50" t="n">
        <v>0.5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n">
        <v>610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n">
        <v>615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0.5</v>
      </c>
      <c r="Z52" t="n">
        <v>0.5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n">
        <v>620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n">
        <v>625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0.5</v>
      </c>
      <c r="AA54" t="n">
        <v>0.5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n">
        <v>630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n">
        <v>635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0.5</v>
      </c>
      <c r="AB56" t="n">
        <v>0.5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n">
        <v>640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n">
        <v>645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0.5</v>
      </c>
      <c r="AC58" t="n">
        <v>0.5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n">
        <v>650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n">
        <v>655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0.5</v>
      </c>
      <c r="AD60" t="n">
        <v>0.5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n">
        <v>660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n">
        <v>665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0.5</v>
      </c>
      <c r="AE62" t="n">
        <v>0.5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n">
        <v>670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n">
        <v>675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0.5</v>
      </c>
      <c r="AF64" t="n">
        <v>0.5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n">
        <v>680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n">
        <v>685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0.5</v>
      </c>
      <c r="AG66" t="n">
        <v>0.5</v>
      </c>
      <c r="AH66" t="n">
        <v>0</v>
      </c>
      <c r="AI66" t="n">
        <v>0</v>
      </c>
      <c r="AJ66" t="n">
        <v>0</v>
      </c>
      <c r="AK66" t="n">
        <v>0</v>
      </c>
    </row>
    <row r="67">
      <c r="A67" t="n">
        <v>690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</row>
    <row r="68">
      <c r="A68" t="n">
        <v>695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0.5</v>
      </c>
      <c r="AH68" t="n">
        <v>0.5</v>
      </c>
      <c r="AI68" t="n">
        <v>0</v>
      </c>
      <c r="AJ68" t="n">
        <v>0</v>
      </c>
      <c r="AK68" t="n">
        <v>0</v>
      </c>
    </row>
    <row r="69">
      <c r="A69" t="n">
        <v>700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</row>
    <row r="70">
      <c r="A70" t="n">
        <v>705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0.5</v>
      </c>
      <c r="AI70" t="n">
        <v>0.5</v>
      </c>
      <c r="AJ70" t="n">
        <v>0</v>
      </c>
      <c r="AK70" t="n">
        <v>0</v>
      </c>
    </row>
    <row r="71">
      <c r="A71" t="n">
        <v>710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</row>
    <row r="72">
      <c r="A72" t="n">
        <v>715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0.5</v>
      </c>
      <c r="AJ72" t="n">
        <v>0.5</v>
      </c>
      <c r="AK72" t="n">
        <v>0</v>
      </c>
    </row>
    <row r="73">
      <c r="A73" t="n">
        <v>720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</row>
    <row r="74">
      <c r="A74" t="n">
        <v>725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0.5</v>
      </c>
      <c r="AK74" t="n">
        <v>0.5</v>
      </c>
    </row>
    <row r="75">
      <c r="A75" t="n">
        <v>730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</row>
    <row r="76">
      <c r="A76" t="n">
        <v>735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</row>
    <row r="77">
      <c r="A77" t="n">
        <v>740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</row>
    <row r="78">
      <c r="A78" t="n">
        <v>745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</row>
    <row r="79">
      <c r="A79" t="n">
        <v>750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</row>
    <row r="80">
      <c r="A80" t="n">
        <v>755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</row>
    <row r="81">
      <c r="A81" t="n">
        <v>760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</row>
    <row r="82">
      <c r="A82" t="n">
        <v>765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</row>
    <row r="83">
      <c r="A83" t="n">
        <v>770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</row>
    <row r="84">
      <c r="A84" t="n">
        <v>775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</row>
    <row r="85">
      <c r="A85" t="n">
        <v>780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8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Wpt normalization for custom light 1</t>
        </is>
      </c>
    </row>
    <row r="3">
      <c r="A3" t="inlineStr">
        <is>
          <t>k (white Y = 100)</t>
        </is>
      </c>
      <c r="B3">
        <f>100/SUMPRODUCT(INDEX(Tables!$B$5:$G$85,0,('Custom lights'!$B$5="CIE 1964 10deg")*3+2),'Custom lights'!$B$8:$B$88)</f>
        <v/>
      </c>
      <c r="AR3" t="inlineStr">
        <is>
          <t>k x observer x light, 5 nm</t>
        </is>
      </c>
      <c r="AV3" t="inlineStr">
        <is>
          <t>Weights for 10 nm reflectance (380-730 nm)</t>
        </is>
      </c>
    </row>
    <row r="5">
      <c r="AR5">
        <f>$B$3*INDEX(INDEX(Tables!$B$5:$G$85,0,('Custom lights'!$B$5="CIE 1964 10deg")*3+1),1)*INDEX('Custom lights'!$B$8:$B$88,1)</f>
        <v/>
      </c>
      <c r="AS5">
        <f>$B$3*INDEX(INDEX(Tables!$B$5:$G$85,0,('Custom lights'!$B$5="CIE 1964 10deg")*3+2),1)*INDEX('Custom lights'!$B$8:$B$88,1)</f>
        <v/>
      </c>
      <c r="AT5">
        <f>$B$3*INDEX(INDEX(Tables!$B$5:$G$85,0,('Custom lights'!$B$5="CIE 1964 10deg")*3+3),1)*INDEX('Custom lights'!$B$8:$B$88,1)</f>
        <v/>
      </c>
      <c r="AV5">
        <f>SUMPRODUCT(AR$5:AR$85,Interp!$B$5:$B$85)</f>
        <v/>
      </c>
      <c r="AW5">
        <f>SUMPRODUCT(AS$5:AS$85,Interp!$B$5:$B$85)</f>
        <v/>
      </c>
      <c r="AX5">
        <f>SUMPRODUCT(AT$5:AT$85,Interp!$B$5:$B$85)</f>
        <v/>
      </c>
    </row>
    <row r="6">
      <c r="A6" t="inlineStr">
        <is>
          <t>White XYZ</t>
        </is>
      </c>
      <c r="B6">
        <f>$B$3*SUMPRODUCT(INDEX(Tables!$B$5:$G$85,0,('Custom lights'!$B$5="CIE 1964 10deg")*3+1),'Custom lights'!$B$8:$B$88)</f>
        <v/>
      </c>
      <c r="C6">
        <f>$B$3*SUMPRODUCT(INDEX(Tables!$B$5:$G$85,0,('Custom lights'!$B$5="CIE 1964 10deg")*3+2),'Custom lights'!$B$8:$B$88)</f>
        <v/>
      </c>
      <c r="D6">
        <f>$B$3*SUMPRODUCT(INDEX(Tables!$B$5:$G$85,0,('Custom lights'!$B$5="CIE 1964 10deg")*3+3),'Custom lights'!$B$8:$B$88)</f>
        <v/>
      </c>
      <c r="AR6">
        <f>$B$3*INDEX(INDEX(Tables!$B$5:$G$85,0,('Custom lights'!$B$5="CIE 1964 10deg")*3+1),2)*INDEX('Custom lights'!$B$8:$B$88,2)</f>
        <v/>
      </c>
      <c r="AS6">
        <f>$B$3*INDEX(INDEX(Tables!$B$5:$G$85,0,('Custom lights'!$B$5="CIE 1964 10deg")*3+2),2)*INDEX('Custom lights'!$B$8:$B$88,2)</f>
        <v/>
      </c>
      <c r="AT6">
        <f>$B$3*INDEX(INDEX(Tables!$B$5:$G$85,0,('Custom lights'!$B$5="CIE 1964 10deg")*3+3),2)*INDEX('Custom lights'!$B$8:$B$88,2)</f>
        <v/>
      </c>
      <c r="AV6">
        <f>SUMPRODUCT(AR$5:AR$85,Interp!$C$5:$C$85)</f>
        <v/>
      </c>
      <c r="AW6">
        <f>SUMPRODUCT(AS$5:AS$85,Interp!$C$5:$C$85)</f>
        <v/>
      </c>
      <c r="AX6">
        <f>SUMPRODUCT(AT$5:AT$85,Interp!$C$5:$C$85)</f>
        <v/>
      </c>
    </row>
    <row r="7">
      <c r="AR7">
        <f>$B$3*INDEX(INDEX(Tables!$B$5:$G$85,0,('Custom lights'!$B$5="CIE 1964 10deg")*3+1),3)*INDEX('Custom lights'!$B$8:$B$88,3)</f>
        <v/>
      </c>
      <c r="AS7">
        <f>$B$3*INDEX(INDEX(Tables!$B$5:$G$85,0,('Custom lights'!$B$5="CIE 1964 10deg")*3+2),3)*INDEX('Custom lights'!$B$8:$B$88,3)</f>
        <v/>
      </c>
      <c r="AT7">
        <f>$B$3*INDEX(INDEX(Tables!$B$5:$G$85,0,('Custom lights'!$B$5="CIE 1964 10deg")*3+3),3)*INDEX('Custom lights'!$B$8:$B$88,3)</f>
        <v/>
      </c>
      <c r="AV7">
        <f>SUMPRODUCT(AR$5:AR$85,Interp!$D$5:$D$85)</f>
        <v/>
      </c>
      <c r="AW7">
        <f>SUMPRODUCT(AS$5:AS$85,Interp!$D$5:$D$85)</f>
        <v/>
      </c>
      <c r="AX7">
        <f>SUMPRODUCT(AT$5:AT$85,Interp!$D$5:$D$85)</f>
        <v/>
      </c>
    </row>
    <row r="8">
      <c r="A8" t="inlineStr">
        <is>
          <t>Base samples: XYZ (rows 9-11)</t>
        </is>
      </c>
      <c r="C8">
        <f>Base!C4</f>
        <v/>
      </c>
      <c r="D8">
        <f>Base!D4</f>
        <v/>
      </c>
      <c r="E8">
        <f>Base!E4</f>
        <v/>
      </c>
      <c r="F8">
        <f>Base!F4</f>
        <v/>
      </c>
      <c r="G8">
        <f>Base!G4</f>
        <v/>
      </c>
      <c r="H8">
        <f>Base!H4</f>
        <v/>
      </c>
      <c r="I8">
        <f>Base!I4</f>
        <v/>
      </c>
      <c r="J8">
        <f>Base!J4</f>
        <v/>
      </c>
      <c r="K8">
        <f>Base!K4</f>
        <v/>
      </c>
      <c r="L8">
        <f>Base!L4</f>
        <v/>
      </c>
      <c r="M8">
        <f>Base!M4</f>
        <v/>
      </c>
      <c r="N8">
        <f>Base!N4</f>
        <v/>
      </c>
      <c r="O8">
        <f>Base!O4</f>
        <v/>
      </c>
      <c r="P8">
        <f>Base!P4</f>
        <v/>
      </c>
      <c r="Q8">
        <f>Base!Q4</f>
        <v/>
      </c>
      <c r="R8">
        <f>Base!R4</f>
        <v/>
      </c>
      <c r="S8">
        <f>Base!S4</f>
        <v/>
      </c>
      <c r="T8">
        <f>Base!T4</f>
        <v/>
      </c>
      <c r="U8">
        <f>Base!U4</f>
        <v/>
      </c>
      <c r="V8">
        <f>Base!V4</f>
        <v/>
      </c>
      <c r="W8">
        <f>Base!W4</f>
        <v/>
      </c>
      <c r="X8">
        <f>Base!X4</f>
        <v/>
      </c>
      <c r="Y8">
        <f>Base!Y4</f>
        <v/>
      </c>
      <c r="Z8">
        <f>Base!Z4</f>
        <v/>
      </c>
      <c r="AA8">
        <f>Base!AA4</f>
        <v/>
      </c>
      <c r="AB8">
        <f>Base!AB4</f>
        <v/>
      </c>
      <c r="AC8">
        <f>Base!AC4</f>
        <v/>
      </c>
      <c r="AD8">
        <f>Base!AD4</f>
        <v/>
      </c>
      <c r="AE8">
        <f>Base!AE4</f>
        <v/>
      </c>
      <c r="AF8">
        <f>Base!AF4</f>
        <v/>
      </c>
      <c r="AG8">
        <f>Base!AG4</f>
        <v/>
      </c>
      <c r="AH8">
        <f>Base!AH4</f>
        <v/>
      </c>
      <c r="AI8">
        <f>Base!AI4</f>
        <v/>
      </c>
      <c r="AJ8">
        <f>Base!AJ4</f>
        <v/>
      </c>
      <c r="AK8">
        <f>Base!AK4</f>
        <v/>
      </c>
      <c r="AL8">
        <f>Base!AL4</f>
        <v/>
      </c>
      <c r="AM8">
        <f>Base!AM4</f>
        <v/>
      </c>
      <c r="AN8">
        <f>Base!AN4</f>
        <v/>
      </c>
      <c r="AO8">
        <f>Base!AO4</f>
        <v/>
      </c>
      <c r="AP8">
        <f>Base!AP4</f>
        <v/>
      </c>
      <c r="AR8">
        <f>$B$3*INDEX(INDEX(Tables!$B$5:$G$85,0,('Custom lights'!$B$5="CIE 1964 10deg")*3+1),4)*INDEX('Custom lights'!$B$8:$B$88,4)</f>
        <v/>
      </c>
      <c r="AS8">
        <f>$B$3*INDEX(INDEX(Tables!$B$5:$G$85,0,('Custom lights'!$B$5="CIE 1964 10deg")*3+2),4)*INDEX('Custom lights'!$B$8:$B$88,4)</f>
        <v/>
      </c>
      <c r="AT8">
        <f>$B$3*INDEX(INDEX(Tables!$B$5:$G$85,0,('Custom lights'!$B$5="CIE 1964 10deg")*3+3),4)*INDEX('Custom lights'!$B$8:$B$88,4)</f>
        <v/>
      </c>
      <c r="AV8">
        <f>SUMPRODUCT(AR$5:AR$85,Interp!$E$5:$E$85)</f>
        <v/>
      </c>
      <c r="AW8">
        <f>SUMPRODUCT(AS$5:AS$85,Interp!$E$5:$E$85)</f>
        <v/>
      </c>
      <c r="AX8">
        <f>SUMPRODUCT(AT$5:AT$85,Interp!$E$5:$E$85)</f>
        <v/>
      </c>
    </row>
    <row r="9">
      <c r="C9">
        <f>$B$3*SUMPRODUCT(Base!$C$5:$C$85,INDEX(Tables!$B$5:$G$85,0,('Custom lights'!$B$5="CIE 1964 10deg")*3+1),'Custom lights'!$B$8:$B$88)</f>
        <v/>
      </c>
      <c r="D9">
        <f>$B$3*SUMPRODUCT(Base!$D$5:$D$85,INDEX(Tables!$B$5:$G$85,0,('Custom lights'!$B$5="CIE 1964 10deg")*3+1),'Custom lights'!$B$8:$B$88)</f>
        <v/>
      </c>
      <c r="E9">
        <f>$B$3*SUMPRODUCT(Base!$E$5:$E$85,INDEX(Tables!$B$5:$G$85,0,('Custom lights'!$B$5="CIE 1964 10deg")*3+1),'Custom lights'!$B$8:$B$88)</f>
        <v/>
      </c>
      <c r="F9">
        <f>$B$3*SUMPRODUCT(Base!$F$5:$F$85,INDEX(Tables!$B$5:$G$85,0,('Custom lights'!$B$5="CIE 1964 10deg")*3+1),'Custom lights'!$B$8:$B$88)</f>
        <v/>
      </c>
      <c r="G9">
        <f>$B$3*SUMPRODUCT(Base!$G$5:$G$85,INDEX(Tables!$B$5:$G$85,0,('Custom lights'!$B$5="CIE 1964 10deg")*3+1),'Custom lights'!$B$8:$B$88)</f>
        <v/>
      </c>
      <c r="H9">
        <f>$B$3*SUMPRODUCT(Base!$H$5:$H$85,INDEX(Tables!$B$5:$G$85,0,('Custom lights'!$B$5="CIE 1964 10deg")*3+1),'Custom lights'!$B$8:$B$88)</f>
        <v/>
      </c>
      <c r="I9">
        <f>$B$3*SUMPRODUCT(Base!$I$5:$I$85,INDEX(Tables!$B$5:$G$85,0,('Custom lights'!$B$5="CIE 1964 10deg")*3+1),'Custom lights'!$B$8:$B$88)</f>
        <v/>
      </c>
      <c r="J9">
        <f>$B$3*SUMPRODUCT(Base!$J$5:$J$85,INDEX(Tables!$B$5:$G$85,0,('Custom lights'!$B$5="CIE 1964 10deg")*3+1),'Custom lights'!$B$8:$B$88)</f>
        <v/>
      </c>
      <c r="K9">
        <f>$B$3*SUMPRODUCT(Base!$K$5:$K$85,INDEX(Tables!$B$5:$G$85,0,('Custom lights'!$B$5="CIE 1964 10deg")*3+1),'Custom lights'!$B$8:$B$88)</f>
        <v/>
      </c>
      <c r="L9">
        <f>$B$3*SUMPRODUCT(Base!$L$5:$L$85,INDEX(Tables!$B$5:$G$85,0,('Custom lights'!$B$5="CIE 1964 10deg")*3+1),'Custom lights'!$B$8:$B$88)</f>
        <v/>
      </c>
      <c r="M9">
        <f>$B$3*SUMPRODUCT(Base!$M$5:$M$85,INDEX(Tables!$B$5:$G$85,0,('Custom lights'!$B$5="CIE 1964 10deg")*3+1),'Custom lights'!$B$8:$B$88)</f>
        <v/>
      </c>
      <c r="N9">
        <f>$B$3*SUMPRODUCT(Base!$N$5:$N$85,INDEX(Tables!$B$5:$G$85,0,('Custom lights'!$B$5="CIE 1964 10deg")*3+1),'Custom lights'!$B$8:$B$88)</f>
        <v/>
      </c>
      <c r="O9">
        <f>$B$3*SUMPRODUCT(Base!$O$5:$O$85,INDEX(Tables!$B$5:$G$85,0,('Custom lights'!$B$5="CIE 1964 10deg")*3+1),'Custom lights'!$B$8:$B$88)</f>
        <v/>
      </c>
      <c r="P9">
        <f>$B$3*SUMPRODUCT(Base!$P$5:$P$85,INDEX(Tables!$B$5:$G$85,0,('Custom lights'!$B$5="CIE 1964 10deg")*3+1),'Custom lights'!$B$8:$B$88)</f>
        <v/>
      </c>
      <c r="Q9">
        <f>$B$3*SUMPRODUCT(Base!$Q$5:$Q$85,INDEX(Tables!$B$5:$G$85,0,('Custom lights'!$B$5="CIE 1964 10deg")*3+1),'Custom lights'!$B$8:$B$88)</f>
        <v/>
      </c>
      <c r="R9">
        <f>$B$3*SUMPRODUCT(Base!$R$5:$R$85,INDEX(Tables!$B$5:$G$85,0,('Custom lights'!$B$5="CIE 1964 10deg")*3+1),'Custom lights'!$B$8:$B$88)</f>
        <v/>
      </c>
      <c r="S9">
        <f>$B$3*SUMPRODUCT(Base!$S$5:$S$85,INDEX(Tables!$B$5:$G$85,0,('Custom lights'!$B$5="CIE 1964 10deg")*3+1),'Custom lights'!$B$8:$B$88)</f>
        <v/>
      </c>
      <c r="T9">
        <f>$B$3*SUMPRODUCT(Base!$T$5:$T$85,INDEX(Tables!$B$5:$G$85,0,('Custom lights'!$B$5="CIE 1964 10deg")*3+1),'Custom lights'!$B$8:$B$88)</f>
        <v/>
      </c>
      <c r="U9">
        <f>$B$3*SUMPRODUCT(Base!$U$5:$U$85,INDEX(Tables!$B$5:$G$85,0,('Custom lights'!$B$5="CIE 1964 10deg")*3+1),'Custom lights'!$B$8:$B$88)</f>
        <v/>
      </c>
      <c r="V9">
        <f>$B$3*SUMPRODUCT(Base!$V$5:$V$85,INDEX(Tables!$B$5:$G$85,0,('Custom lights'!$B$5="CIE 1964 10deg")*3+1),'Custom lights'!$B$8:$B$88)</f>
        <v/>
      </c>
      <c r="W9">
        <f>$B$3*SUMPRODUCT(Base!$W$5:$W$85,INDEX(Tables!$B$5:$G$85,0,('Custom lights'!$B$5="CIE 1964 10deg")*3+1),'Custom lights'!$B$8:$B$88)</f>
        <v/>
      </c>
      <c r="X9">
        <f>$B$3*SUMPRODUCT(Base!$X$5:$X$85,INDEX(Tables!$B$5:$G$85,0,('Custom lights'!$B$5="CIE 1964 10deg")*3+1),'Custom lights'!$B$8:$B$88)</f>
        <v/>
      </c>
      <c r="Y9">
        <f>$B$3*SUMPRODUCT(Base!$Y$5:$Y$85,INDEX(Tables!$B$5:$G$85,0,('Custom lights'!$B$5="CIE 1964 10deg")*3+1),'Custom lights'!$B$8:$B$88)</f>
        <v/>
      </c>
      <c r="Z9">
        <f>$B$3*SUMPRODUCT(Base!$Z$5:$Z$85,INDEX(Tables!$B$5:$G$85,0,('Custom lights'!$B$5="CIE 1964 10deg")*3+1),'Custom lights'!$B$8:$B$88)</f>
        <v/>
      </c>
      <c r="AA9">
        <f>$B$3*SUMPRODUCT(Base!$AA$5:$AA$85,INDEX(Tables!$B$5:$G$85,0,('Custom lights'!$B$5="CIE 1964 10deg")*3+1),'Custom lights'!$B$8:$B$88)</f>
        <v/>
      </c>
      <c r="AB9">
        <f>$B$3*SUMPRODUCT(Base!$AB$5:$AB$85,INDEX(Tables!$B$5:$G$85,0,('Custom lights'!$B$5="CIE 1964 10deg")*3+1),'Custom lights'!$B$8:$B$88)</f>
        <v/>
      </c>
      <c r="AC9">
        <f>$B$3*SUMPRODUCT(Base!$AC$5:$AC$85,INDEX(Tables!$B$5:$G$85,0,('Custom lights'!$B$5="CIE 1964 10deg")*3+1),'Custom lights'!$B$8:$B$88)</f>
        <v/>
      </c>
      <c r="AD9">
        <f>$B$3*SUMPRODUCT(Base!$AD$5:$AD$85,INDEX(Tables!$B$5:$G$85,0,('Custom lights'!$B$5="CIE 1964 10deg")*3+1),'Custom lights'!$B$8:$B$88)</f>
        <v/>
      </c>
      <c r="AE9">
        <f>$B$3*SUMPRODUCT(Base!$AE$5:$AE$85,INDEX(Tables!$B$5:$G$85,0,('Custom lights'!$B$5="CIE 1964 10deg")*3+1),'Custom lights'!$B$8:$B$88)</f>
        <v/>
      </c>
      <c r="AF9">
        <f>$B$3*SUMPRODUCT(Base!$AF$5:$AF$85,INDEX(Tables!$B$5:$G$85,0,('Custom lights'!$B$5="CIE 1964 10deg")*3+1),'Custom lights'!$B$8:$B$88)</f>
        <v/>
      </c>
      <c r="AG9">
        <f>$B$3*SUMPRODUCT(Base!$AG$5:$AG$85,INDEX(Tables!$B$5:$G$85,0,('Custom lights'!$B$5="CIE 1964 10deg")*3+1),'Custom lights'!$B$8:$B$88)</f>
        <v/>
      </c>
      <c r="AH9">
        <f>$B$3*SUMPRODUCT(Base!$AH$5:$AH$85,INDEX(Tables!$B$5:$G$85,0,('Custom lights'!$B$5="CIE 1964 10deg")*3+1),'Custom lights'!$B$8:$B$88)</f>
        <v/>
      </c>
      <c r="AI9">
        <f>$B$3*SUMPRODUCT(Base!$AI$5:$AI$85,INDEX(Tables!$B$5:$G$85,0,('Custom lights'!$B$5="CIE 1964 10deg")*3+1),'Custom lights'!$B$8:$B$88)</f>
        <v/>
      </c>
      <c r="AJ9">
        <f>$B$3*SUMPRODUCT(Base!$AJ$5:$AJ$85,INDEX(Tables!$B$5:$G$85,0,('Custom lights'!$B$5="CIE 1964 10deg")*3+1),'Custom lights'!$B$8:$B$88)</f>
        <v/>
      </c>
      <c r="AK9">
        <f>$B$3*SUMPRODUCT(Base!$AK$5:$AK$85,INDEX(Tables!$B$5:$G$85,0,('Custom lights'!$B$5="CIE 1964 10deg")*3+1),'Custom lights'!$B$8:$B$88)</f>
        <v/>
      </c>
      <c r="AL9">
        <f>$B$3*SUMPRODUCT(Base!$AL$5:$AL$85,INDEX(Tables!$B$5:$G$85,0,('Custom lights'!$B$5="CIE 1964 10deg")*3+1),'Custom lights'!$B$8:$B$88)</f>
        <v/>
      </c>
      <c r="AM9">
        <f>$B$3*SUMPRODUCT(Base!$AM$5:$AM$85,INDEX(Tables!$B$5:$G$85,0,('Custom lights'!$B$5="CIE 1964 10deg")*3+1),'Custom lights'!$B$8:$B$88)</f>
        <v/>
      </c>
      <c r="AN9">
        <f>$B$3*SUMPRODUCT(Base!$AN$5:$AN$85,INDEX(Tables!$B$5:$G$85,0,('Custom lights'!$B$5="CIE 1964 10deg")*3+1),'Custom lights'!$B$8:$B$88)</f>
        <v/>
      </c>
      <c r="AO9">
        <f>$B$3*SUMPRODUCT(Base!$AO$5:$AO$85,INDEX(Tables!$B$5:$G$85,0,('Custom lights'!$B$5="CIE 1964 10deg")*3+1),'Custom lights'!$B$8:$B$88)</f>
        <v/>
      </c>
      <c r="AP9">
        <f>$B$3*SUMPRODUCT(Base!$AP$5:$AP$85,INDEX(Tables!$B$5:$G$85,0,('Custom lights'!$B$5="CIE 1964 10deg")*3+1),'Custom lights'!$B$8:$B$88)</f>
        <v/>
      </c>
      <c r="AR9">
        <f>$B$3*INDEX(INDEX(Tables!$B$5:$G$85,0,('Custom lights'!$B$5="CIE 1964 10deg")*3+1),5)*INDEX('Custom lights'!$B$8:$B$88,5)</f>
        <v/>
      </c>
      <c r="AS9">
        <f>$B$3*INDEX(INDEX(Tables!$B$5:$G$85,0,('Custom lights'!$B$5="CIE 1964 10deg")*3+2),5)*INDEX('Custom lights'!$B$8:$B$88,5)</f>
        <v/>
      </c>
      <c r="AT9">
        <f>$B$3*INDEX(INDEX(Tables!$B$5:$G$85,0,('Custom lights'!$B$5="CIE 1964 10deg")*3+3),5)*INDEX('Custom lights'!$B$8:$B$88,5)</f>
        <v/>
      </c>
      <c r="AV9">
        <f>SUMPRODUCT(AR$5:AR$85,Interp!$F$5:$F$85)</f>
        <v/>
      </c>
      <c r="AW9">
        <f>SUMPRODUCT(AS$5:AS$85,Interp!$F$5:$F$85)</f>
        <v/>
      </c>
      <c r="AX9">
        <f>SUMPRODUCT(AT$5:AT$85,Interp!$F$5:$F$85)</f>
        <v/>
      </c>
    </row>
    <row r="10">
      <c r="C10">
        <f>$B$3*SUMPRODUCT(Base!$C$5:$C$85,INDEX(Tables!$B$5:$G$85,0,('Custom lights'!$B$5="CIE 1964 10deg")*3+2),'Custom lights'!$B$8:$B$88)</f>
        <v/>
      </c>
      <c r="D10">
        <f>$B$3*SUMPRODUCT(Base!$D$5:$D$85,INDEX(Tables!$B$5:$G$85,0,('Custom lights'!$B$5="CIE 1964 10deg")*3+2),'Custom lights'!$B$8:$B$88)</f>
        <v/>
      </c>
      <c r="E10">
        <f>$B$3*SUMPRODUCT(Base!$E$5:$E$85,INDEX(Tables!$B$5:$G$85,0,('Custom lights'!$B$5="CIE 1964 10deg")*3+2),'Custom lights'!$B$8:$B$88)</f>
        <v/>
      </c>
      <c r="F10">
        <f>$B$3*SUMPRODUCT(Base!$F$5:$F$85,INDEX(Tables!$B$5:$G$85,0,('Custom lights'!$B$5="CIE 1964 10deg")*3+2),'Custom lights'!$B$8:$B$88)</f>
        <v/>
      </c>
      <c r="G10">
        <f>$B$3*SUMPRODUCT(Base!$G$5:$G$85,INDEX(Tables!$B$5:$G$85,0,('Custom lights'!$B$5="CIE 1964 10deg")*3+2),'Custom lights'!$B$8:$B$88)</f>
        <v/>
      </c>
      <c r="H10">
        <f>$B$3*SUMPRODUCT(Base!$H$5:$H$85,INDEX(Tables!$B$5:$G$85,0,('Custom lights'!$B$5="CIE 1964 10deg")*3+2),'Custom lights'!$B$8:$B$88)</f>
        <v/>
      </c>
      <c r="I10">
        <f>$B$3*SUMPRODUCT(Base!$I$5:$I$85,INDEX(Tables!$B$5:$G$85,0,('Custom lights'!$B$5="CIE 1964 10deg")*3+2),'Custom lights'!$B$8:$B$88)</f>
        <v/>
      </c>
      <c r="J10">
        <f>$B$3*SUMPRODUCT(Base!$J$5:$J$85,INDEX(Tables!$B$5:$G$85,0,('Custom lights'!$B$5="CIE 1964 10deg")*3+2),'Custom lights'!$B$8:$B$88)</f>
        <v/>
      </c>
      <c r="K10">
        <f>$B$3*SUMPRODUCT(Base!$K$5:$K$85,INDEX(Tables!$B$5:$G$85,0,('Custom lights'!$B$5="CIE 1964 10deg")*3+2),'Custom lights'!$B$8:$B$88)</f>
        <v/>
      </c>
      <c r="L10">
        <f>$B$3*SUMPRODUCT(Base!$L$5:$L$85,INDEX(Tables!$B$5:$G$85,0,('Custom lights'!$B$5="CIE 1964 10deg")*3+2),'Custom lights'!$B$8:$B$88)</f>
        <v/>
      </c>
      <c r="M10">
        <f>$B$3*SUMPRODUCT(Base!$M$5:$M$85,INDEX(Tables!$B$5:$G$85,0,('Custom lights'!$B$5="CIE 1964 10deg")*3+2),'Custom lights'!$B$8:$B$88)</f>
        <v/>
      </c>
      <c r="N10">
        <f>$B$3*SUMPRODUCT(Base!$N$5:$N$85,INDEX(Tables!$B$5:$G$85,0,('Custom lights'!$B$5="CIE 1964 10deg")*3+2),'Custom lights'!$B$8:$B$88)</f>
        <v/>
      </c>
      <c r="O10">
        <f>$B$3*SUMPRODUCT(Base!$O$5:$O$85,INDEX(Tables!$B$5:$G$85,0,('Custom lights'!$B$5="CIE 1964 10deg")*3+2),'Custom lights'!$B$8:$B$88)</f>
        <v/>
      </c>
      <c r="P10">
        <f>$B$3*SUMPRODUCT(Base!$P$5:$P$85,INDEX(Tables!$B$5:$G$85,0,('Custom lights'!$B$5="CIE 1964 10deg")*3+2),'Custom lights'!$B$8:$B$88)</f>
        <v/>
      </c>
      <c r="Q10">
        <f>$B$3*SUMPRODUCT(Base!$Q$5:$Q$85,INDEX(Tables!$B$5:$G$85,0,('Custom lights'!$B$5="CIE 1964 10deg")*3+2),'Custom lights'!$B$8:$B$88)</f>
        <v/>
      </c>
      <c r="R10">
        <f>$B$3*SUMPRODUCT(Base!$R$5:$R$85,INDEX(Tables!$B$5:$G$85,0,('Custom lights'!$B$5="CIE 1964 10deg")*3+2),'Custom lights'!$B$8:$B$88)</f>
        <v/>
      </c>
      <c r="S10">
        <f>$B$3*SUMPRODUCT(Base!$S$5:$S$85,INDEX(Tables!$B$5:$G$85,0,('Custom lights'!$B$5="CIE 1964 10deg")*3+2),'Custom lights'!$B$8:$B$88)</f>
        <v/>
      </c>
      <c r="T10">
        <f>$B$3*SUMPRODUCT(Base!$T$5:$T$85,INDEX(Tables!$B$5:$G$85,0,('Custom lights'!$B$5="CIE 1964 10deg")*3+2),'Custom lights'!$B$8:$B$88)</f>
        <v/>
      </c>
      <c r="U10">
        <f>$B$3*SUMPRODUCT(Base!$U$5:$U$85,INDEX(Tables!$B$5:$G$85,0,('Custom lights'!$B$5="CIE 1964 10deg")*3+2),'Custom lights'!$B$8:$B$88)</f>
        <v/>
      </c>
      <c r="V10">
        <f>$B$3*SUMPRODUCT(Base!$V$5:$V$85,INDEX(Tables!$B$5:$G$85,0,('Custom lights'!$B$5="CIE 1964 10deg")*3+2),'Custom lights'!$B$8:$B$88)</f>
        <v/>
      </c>
      <c r="W10">
        <f>$B$3*SUMPRODUCT(Base!$W$5:$W$85,INDEX(Tables!$B$5:$G$85,0,('Custom lights'!$B$5="CIE 1964 10deg")*3+2),'Custom lights'!$B$8:$B$88)</f>
        <v/>
      </c>
      <c r="X10">
        <f>$B$3*SUMPRODUCT(Base!$X$5:$X$85,INDEX(Tables!$B$5:$G$85,0,('Custom lights'!$B$5="CIE 1964 10deg")*3+2),'Custom lights'!$B$8:$B$88)</f>
        <v/>
      </c>
      <c r="Y10">
        <f>$B$3*SUMPRODUCT(Base!$Y$5:$Y$85,INDEX(Tables!$B$5:$G$85,0,('Custom lights'!$B$5="CIE 1964 10deg")*3+2),'Custom lights'!$B$8:$B$88)</f>
        <v/>
      </c>
      <c r="Z10">
        <f>$B$3*SUMPRODUCT(Base!$Z$5:$Z$85,INDEX(Tables!$B$5:$G$85,0,('Custom lights'!$B$5="CIE 1964 10deg")*3+2),'Custom lights'!$B$8:$B$88)</f>
        <v/>
      </c>
      <c r="AA10">
        <f>$B$3*SUMPRODUCT(Base!$AA$5:$AA$85,INDEX(Tables!$B$5:$G$85,0,('Custom lights'!$B$5="CIE 1964 10deg")*3+2),'Custom lights'!$B$8:$B$88)</f>
        <v/>
      </c>
      <c r="AB10">
        <f>$B$3*SUMPRODUCT(Base!$AB$5:$AB$85,INDEX(Tables!$B$5:$G$85,0,('Custom lights'!$B$5="CIE 1964 10deg")*3+2),'Custom lights'!$B$8:$B$88)</f>
        <v/>
      </c>
      <c r="AC10">
        <f>$B$3*SUMPRODUCT(Base!$AC$5:$AC$85,INDEX(Tables!$B$5:$G$85,0,('Custom lights'!$B$5="CIE 1964 10deg")*3+2),'Custom lights'!$B$8:$B$88)</f>
        <v/>
      </c>
      <c r="AD10">
        <f>$B$3*SUMPRODUCT(Base!$AD$5:$AD$85,INDEX(Tables!$B$5:$G$85,0,('Custom lights'!$B$5="CIE 1964 10deg")*3+2),'Custom lights'!$B$8:$B$88)</f>
        <v/>
      </c>
      <c r="AE10">
        <f>$B$3*SUMPRODUCT(Base!$AE$5:$AE$85,INDEX(Tables!$B$5:$G$85,0,('Custom lights'!$B$5="CIE 1964 10deg")*3+2),'Custom lights'!$B$8:$B$88)</f>
        <v/>
      </c>
      <c r="AF10">
        <f>$B$3*SUMPRODUCT(Base!$AF$5:$AF$85,INDEX(Tables!$B$5:$G$85,0,('Custom lights'!$B$5="CIE 1964 10deg")*3+2),'Custom lights'!$B$8:$B$88)</f>
        <v/>
      </c>
      <c r="AG10">
        <f>$B$3*SUMPRODUCT(Base!$AG$5:$AG$85,INDEX(Tables!$B$5:$G$85,0,('Custom lights'!$B$5="CIE 1964 10deg")*3+2),'Custom lights'!$B$8:$B$88)</f>
        <v/>
      </c>
      <c r="AH10">
        <f>$B$3*SUMPRODUCT(Base!$AH$5:$AH$85,INDEX(Tables!$B$5:$G$85,0,('Custom lights'!$B$5="CIE 1964 10deg")*3+2),'Custom lights'!$B$8:$B$88)</f>
        <v/>
      </c>
      <c r="AI10">
        <f>$B$3*SUMPRODUCT(Base!$AI$5:$AI$85,INDEX(Tables!$B$5:$G$85,0,('Custom lights'!$B$5="CIE 1964 10deg")*3+2),'Custom lights'!$B$8:$B$88)</f>
        <v/>
      </c>
      <c r="AJ10">
        <f>$B$3*SUMPRODUCT(Base!$AJ$5:$AJ$85,INDEX(Tables!$B$5:$G$85,0,('Custom lights'!$B$5="CIE 1964 10deg")*3+2),'Custom lights'!$B$8:$B$88)</f>
        <v/>
      </c>
      <c r="AK10">
        <f>$B$3*SUMPRODUCT(Base!$AK$5:$AK$85,INDEX(Tables!$B$5:$G$85,0,('Custom lights'!$B$5="CIE 1964 10deg")*3+2),'Custom lights'!$B$8:$B$88)</f>
        <v/>
      </c>
      <c r="AL10">
        <f>$B$3*SUMPRODUCT(Base!$AL$5:$AL$85,INDEX(Tables!$B$5:$G$85,0,('Custom lights'!$B$5="CIE 1964 10deg")*3+2),'Custom lights'!$B$8:$B$88)</f>
        <v/>
      </c>
      <c r="AM10">
        <f>$B$3*SUMPRODUCT(Base!$AM$5:$AM$85,INDEX(Tables!$B$5:$G$85,0,('Custom lights'!$B$5="CIE 1964 10deg")*3+2),'Custom lights'!$B$8:$B$88)</f>
        <v/>
      </c>
      <c r="AN10">
        <f>$B$3*SUMPRODUCT(Base!$AN$5:$AN$85,INDEX(Tables!$B$5:$G$85,0,('Custom lights'!$B$5="CIE 1964 10deg")*3+2),'Custom lights'!$B$8:$B$88)</f>
        <v/>
      </c>
      <c r="AO10">
        <f>$B$3*SUMPRODUCT(Base!$AO$5:$AO$85,INDEX(Tables!$B$5:$G$85,0,('Custom lights'!$B$5="CIE 1964 10deg")*3+2),'Custom lights'!$B$8:$B$88)</f>
        <v/>
      </c>
      <c r="AP10">
        <f>$B$3*SUMPRODUCT(Base!$AP$5:$AP$85,INDEX(Tables!$B$5:$G$85,0,('Custom lights'!$B$5="CIE 1964 10deg")*3+2),'Custom lights'!$B$8:$B$88)</f>
        <v/>
      </c>
      <c r="AR10">
        <f>$B$3*INDEX(INDEX(Tables!$B$5:$G$85,0,('Custom lights'!$B$5="CIE 1964 10deg")*3+1),6)*INDEX('Custom lights'!$B$8:$B$88,6)</f>
        <v/>
      </c>
      <c r="AS10">
        <f>$B$3*INDEX(INDEX(Tables!$B$5:$G$85,0,('Custom lights'!$B$5="CIE 1964 10deg")*3+2),6)*INDEX('Custom lights'!$B$8:$B$88,6)</f>
        <v/>
      </c>
      <c r="AT10">
        <f>$B$3*INDEX(INDEX(Tables!$B$5:$G$85,0,('Custom lights'!$B$5="CIE 1964 10deg")*3+3),6)*INDEX('Custom lights'!$B$8:$B$88,6)</f>
        <v/>
      </c>
      <c r="AV10">
        <f>SUMPRODUCT(AR$5:AR$85,Interp!$G$5:$G$85)</f>
        <v/>
      </c>
      <c r="AW10">
        <f>SUMPRODUCT(AS$5:AS$85,Interp!$G$5:$G$85)</f>
        <v/>
      </c>
      <c r="AX10">
        <f>SUMPRODUCT(AT$5:AT$85,Interp!$G$5:$G$85)</f>
        <v/>
      </c>
    </row>
    <row r="11">
      <c r="C11">
        <f>$B$3*SUMPRODUCT(Base!$C$5:$C$85,INDEX(Tables!$B$5:$G$85,0,('Custom lights'!$B$5="CIE 1964 10deg")*3+3),'Custom lights'!$B$8:$B$88)</f>
        <v/>
      </c>
      <c r="D11">
        <f>$B$3*SUMPRODUCT(Base!$D$5:$D$85,INDEX(Tables!$B$5:$G$85,0,('Custom lights'!$B$5="CIE 1964 10deg")*3+3),'Custom lights'!$B$8:$B$88)</f>
        <v/>
      </c>
      <c r="E11">
        <f>$B$3*SUMPRODUCT(Base!$E$5:$E$85,INDEX(Tables!$B$5:$G$85,0,('Custom lights'!$B$5="CIE 1964 10deg")*3+3),'Custom lights'!$B$8:$B$88)</f>
        <v/>
      </c>
      <c r="F11">
        <f>$B$3*SUMPRODUCT(Base!$F$5:$F$85,INDEX(Tables!$B$5:$G$85,0,('Custom lights'!$B$5="CIE 1964 10deg")*3+3),'Custom lights'!$B$8:$B$88)</f>
        <v/>
      </c>
      <c r="G11">
        <f>$B$3*SUMPRODUCT(Base!$G$5:$G$85,INDEX(Tables!$B$5:$G$85,0,('Custom lights'!$B$5="CIE 1964 10deg")*3+3),'Custom lights'!$B$8:$B$88)</f>
        <v/>
      </c>
      <c r="H11">
        <f>$B$3*SUMPRODUCT(Base!$H$5:$H$85,INDEX(Tables!$B$5:$G$85,0,('Custom lights'!$B$5="CIE 1964 10deg")*3+3),'Custom lights'!$B$8:$B$88)</f>
        <v/>
      </c>
      <c r="I11">
        <f>$B$3*SUMPRODUCT(Base!$I$5:$I$85,INDEX(Tables!$B$5:$G$85,0,('Custom lights'!$B$5="CIE 1964 10deg")*3+3),'Custom lights'!$B$8:$B$88)</f>
        <v/>
      </c>
      <c r="J11">
        <f>$B$3*SUMPRODUCT(Base!$J$5:$J$85,INDEX(Tables!$B$5:$G$85,0,('Custom lights'!$B$5="CIE 1964 10deg")*3+3),'Custom lights'!$B$8:$B$88)</f>
        <v/>
      </c>
      <c r="K11">
        <f>$B$3*SUMPRODUCT(Base!$K$5:$K$85,INDEX(Tables!$B$5:$G$85,0,('Custom lights'!$B$5="CIE 1964 10deg")*3+3),'Custom lights'!$B$8:$B$88)</f>
        <v/>
      </c>
      <c r="L11">
        <f>$B$3*SUMPRODUCT(Base!$L$5:$L$85,INDEX(Tables!$B$5:$G$85,0,('Custom lights'!$B$5="CIE 1964 10deg")*3+3),'Custom lights'!$B$8:$B$88)</f>
        <v/>
      </c>
      <c r="M11">
        <f>$B$3*SUMPRODUCT(Base!$M$5:$M$85,INDEX(Tables!$B$5:$G$85,0,('Custom lights'!$B$5="CIE 1964 10deg")*3+3),'Custom lights'!$B$8:$B$88)</f>
        <v/>
      </c>
      <c r="N11">
        <f>$B$3*SUMPRODUCT(Base!$N$5:$N$85,INDEX(Tables!$B$5:$G$85,0,('Custom lights'!$B$5="CIE 1964 10deg")*3+3),'Custom lights'!$B$8:$B$88)</f>
        <v/>
      </c>
      <c r="O11">
        <f>$B$3*SUMPRODUCT(Base!$O$5:$O$85,INDEX(Tables!$B$5:$G$85,0,('Custom lights'!$B$5="CIE 1964 10deg")*3+3),'Custom lights'!$B$8:$B$88)</f>
        <v/>
      </c>
      <c r="P11">
        <f>$B$3*SUMPRODUCT(Base!$P$5:$P$85,INDEX(Tables!$B$5:$G$85,0,('Custom lights'!$B$5="CIE 1964 10deg")*3+3),'Custom lights'!$B$8:$B$88)</f>
        <v/>
      </c>
      <c r="Q11">
        <f>$B$3*SUMPRODUCT(Base!$Q$5:$Q$85,INDEX(Tables!$B$5:$G$85,0,('Custom lights'!$B$5="CIE 1964 10deg")*3+3),'Custom lights'!$B$8:$B$88)</f>
        <v/>
      </c>
      <c r="R11">
        <f>$B$3*SUMPRODUCT(Base!$R$5:$R$85,INDEX(Tables!$B$5:$G$85,0,('Custom lights'!$B$5="CIE 1964 10deg")*3+3),'Custom lights'!$B$8:$B$88)</f>
        <v/>
      </c>
      <c r="S11">
        <f>$B$3*SUMPRODUCT(Base!$S$5:$S$85,INDEX(Tables!$B$5:$G$85,0,('Custom lights'!$B$5="CIE 1964 10deg")*3+3),'Custom lights'!$B$8:$B$88)</f>
        <v/>
      </c>
      <c r="T11">
        <f>$B$3*SUMPRODUCT(Base!$T$5:$T$85,INDEX(Tables!$B$5:$G$85,0,('Custom lights'!$B$5="CIE 1964 10deg")*3+3),'Custom lights'!$B$8:$B$88)</f>
        <v/>
      </c>
      <c r="U11">
        <f>$B$3*SUMPRODUCT(Base!$U$5:$U$85,INDEX(Tables!$B$5:$G$85,0,('Custom lights'!$B$5="CIE 1964 10deg")*3+3),'Custom lights'!$B$8:$B$88)</f>
        <v/>
      </c>
      <c r="V11">
        <f>$B$3*SUMPRODUCT(Base!$V$5:$V$85,INDEX(Tables!$B$5:$G$85,0,('Custom lights'!$B$5="CIE 1964 10deg")*3+3),'Custom lights'!$B$8:$B$88)</f>
        <v/>
      </c>
      <c r="W11">
        <f>$B$3*SUMPRODUCT(Base!$W$5:$W$85,INDEX(Tables!$B$5:$G$85,0,('Custom lights'!$B$5="CIE 1964 10deg")*3+3),'Custom lights'!$B$8:$B$88)</f>
        <v/>
      </c>
      <c r="X11">
        <f>$B$3*SUMPRODUCT(Base!$X$5:$X$85,INDEX(Tables!$B$5:$G$85,0,('Custom lights'!$B$5="CIE 1964 10deg")*3+3),'Custom lights'!$B$8:$B$88)</f>
        <v/>
      </c>
      <c r="Y11">
        <f>$B$3*SUMPRODUCT(Base!$Y$5:$Y$85,INDEX(Tables!$B$5:$G$85,0,('Custom lights'!$B$5="CIE 1964 10deg")*3+3),'Custom lights'!$B$8:$B$88)</f>
        <v/>
      </c>
      <c r="Z11">
        <f>$B$3*SUMPRODUCT(Base!$Z$5:$Z$85,INDEX(Tables!$B$5:$G$85,0,('Custom lights'!$B$5="CIE 1964 10deg")*3+3),'Custom lights'!$B$8:$B$88)</f>
        <v/>
      </c>
      <c r="AA11">
        <f>$B$3*SUMPRODUCT(Base!$AA$5:$AA$85,INDEX(Tables!$B$5:$G$85,0,('Custom lights'!$B$5="CIE 1964 10deg")*3+3),'Custom lights'!$B$8:$B$88)</f>
        <v/>
      </c>
      <c r="AB11">
        <f>$B$3*SUMPRODUCT(Base!$AB$5:$AB$85,INDEX(Tables!$B$5:$G$85,0,('Custom lights'!$B$5="CIE 1964 10deg")*3+3),'Custom lights'!$B$8:$B$88)</f>
        <v/>
      </c>
      <c r="AC11">
        <f>$B$3*SUMPRODUCT(Base!$AC$5:$AC$85,INDEX(Tables!$B$5:$G$85,0,('Custom lights'!$B$5="CIE 1964 10deg")*3+3),'Custom lights'!$B$8:$B$88)</f>
        <v/>
      </c>
      <c r="AD11">
        <f>$B$3*SUMPRODUCT(Base!$AD$5:$AD$85,INDEX(Tables!$B$5:$G$85,0,('Custom lights'!$B$5="CIE 1964 10deg")*3+3),'Custom lights'!$B$8:$B$88)</f>
        <v/>
      </c>
      <c r="AE11">
        <f>$B$3*SUMPRODUCT(Base!$AE$5:$AE$85,INDEX(Tables!$B$5:$G$85,0,('Custom lights'!$B$5="CIE 1964 10deg")*3+3),'Custom lights'!$B$8:$B$88)</f>
        <v/>
      </c>
      <c r="AF11">
        <f>$B$3*SUMPRODUCT(Base!$AF$5:$AF$85,INDEX(Tables!$B$5:$G$85,0,('Custom lights'!$B$5="CIE 1964 10deg")*3+3),'Custom lights'!$B$8:$B$88)</f>
        <v/>
      </c>
      <c r="AG11">
        <f>$B$3*SUMPRODUCT(Base!$AG$5:$AG$85,INDEX(Tables!$B$5:$G$85,0,('Custom lights'!$B$5="CIE 1964 10deg")*3+3),'Custom lights'!$B$8:$B$88)</f>
        <v/>
      </c>
      <c r="AH11">
        <f>$B$3*SUMPRODUCT(Base!$AH$5:$AH$85,INDEX(Tables!$B$5:$G$85,0,('Custom lights'!$B$5="CIE 1964 10deg")*3+3),'Custom lights'!$B$8:$B$88)</f>
        <v/>
      </c>
      <c r="AI11">
        <f>$B$3*SUMPRODUCT(Base!$AI$5:$AI$85,INDEX(Tables!$B$5:$G$85,0,('Custom lights'!$B$5="CIE 1964 10deg")*3+3),'Custom lights'!$B$8:$B$88)</f>
        <v/>
      </c>
      <c r="AJ11">
        <f>$B$3*SUMPRODUCT(Base!$AJ$5:$AJ$85,INDEX(Tables!$B$5:$G$85,0,('Custom lights'!$B$5="CIE 1964 10deg")*3+3),'Custom lights'!$B$8:$B$88)</f>
        <v/>
      </c>
      <c r="AK11">
        <f>$B$3*SUMPRODUCT(Base!$AK$5:$AK$85,INDEX(Tables!$B$5:$G$85,0,('Custom lights'!$B$5="CIE 1964 10deg")*3+3),'Custom lights'!$B$8:$B$88)</f>
        <v/>
      </c>
      <c r="AL11">
        <f>$B$3*SUMPRODUCT(Base!$AL$5:$AL$85,INDEX(Tables!$B$5:$G$85,0,('Custom lights'!$B$5="CIE 1964 10deg")*3+3),'Custom lights'!$B$8:$B$88)</f>
        <v/>
      </c>
      <c r="AM11">
        <f>$B$3*SUMPRODUCT(Base!$AM$5:$AM$85,INDEX(Tables!$B$5:$G$85,0,('Custom lights'!$B$5="CIE 1964 10deg")*3+3),'Custom lights'!$B$8:$B$88)</f>
        <v/>
      </c>
      <c r="AN11">
        <f>$B$3*SUMPRODUCT(Base!$AN$5:$AN$85,INDEX(Tables!$B$5:$G$85,0,('Custom lights'!$B$5="CIE 1964 10deg")*3+3),'Custom lights'!$B$8:$B$88)</f>
        <v/>
      </c>
      <c r="AO11">
        <f>$B$3*SUMPRODUCT(Base!$AO$5:$AO$85,INDEX(Tables!$B$5:$G$85,0,('Custom lights'!$B$5="CIE 1964 10deg")*3+3),'Custom lights'!$B$8:$B$88)</f>
        <v/>
      </c>
      <c r="AP11">
        <f>$B$3*SUMPRODUCT(Base!$AP$5:$AP$85,INDEX(Tables!$B$5:$G$85,0,('Custom lights'!$B$5="CIE 1964 10deg")*3+3),'Custom lights'!$B$8:$B$88)</f>
        <v/>
      </c>
      <c r="AR11">
        <f>$B$3*INDEX(INDEX(Tables!$B$5:$G$85,0,('Custom lights'!$B$5="CIE 1964 10deg")*3+1),7)*INDEX('Custom lights'!$B$8:$B$88,7)</f>
        <v/>
      </c>
      <c r="AS11">
        <f>$B$3*INDEX(INDEX(Tables!$B$5:$G$85,0,('Custom lights'!$B$5="CIE 1964 10deg")*3+2),7)*INDEX('Custom lights'!$B$8:$B$88,7)</f>
        <v/>
      </c>
      <c r="AT11">
        <f>$B$3*INDEX(INDEX(Tables!$B$5:$G$85,0,('Custom lights'!$B$5="CIE 1964 10deg")*3+3),7)*INDEX('Custom lights'!$B$8:$B$88,7)</f>
        <v/>
      </c>
      <c r="AV11">
        <f>SUMPRODUCT(AR$5:AR$85,Interp!$H$5:$H$85)</f>
        <v/>
      </c>
      <c r="AW11">
        <f>SUMPRODUCT(AS$5:AS$85,Interp!$H$5:$H$85)</f>
        <v/>
      </c>
      <c r="AX11">
        <f>SUMPRODUCT(AT$5:AT$85,Interp!$H$5:$H$85)</f>
        <v/>
      </c>
    </row>
    <row r="12">
      <c r="AR12">
        <f>$B$3*INDEX(INDEX(Tables!$B$5:$G$85,0,('Custom lights'!$B$5="CIE 1964 10deg")*3+1),8)*INDEX('Custom lights'!$B$8:$B$88,8)</f>
        <v/>
      </c>
      <c r="AS12">
        <f>$B$3*INDEX(INDEX(Tables!$B$5:$G$85,0,('Custom lights'!$B$5="CIE 1964 10deg")*3+2),8)*INDEX('Custom lights'!$B$8:$B$88,8)</f>
        <v/>
      </c>
      <c r="AT12">
        <f>$B$3*INDEX(INDEX(Tables!$B$5:$G$85,0,('Custom lights'!$B$5="CIE 1964 10deg")*3+3),8)*INDEX('Custom lights'!$B$8:$B$88,8)</f>
        <v/>
      </c>
      <c r="AV12">
        <f>SUMPRODUCT(AR$5:AR$85,Interp!$I$5:$I$85)</f>
        <v/>
      </c>
      <c r="AW12">
        <f>SUMPRODUCT(AS$5:AS$85,Interp!$I$5:$I$85)</f>
        <v/>
      </c>
      <c r="AX12">
        <f>SUMPRODUCT(AT$5:AT$85,Interp!$I$5:$I$85)</f>
        <v/>
      </c>
    </row>
    <row r="13">
      <c r="A13" t="inlineStr">
        <is>
          <t>Step 1. Rotate white onto the first axis</t>
        </is>
      </c>
      <c r="AR13">
        <f>$B$3*INDEX(INDEX(Tables!$B$5:$G$85,0,('Custom lights'!$B$5="CIE 1964 10deg")*3+1),9)*INDEX('Custom lights'!$B$8:$B$88,9)</f>
        <v/>
      </c>
      <c r="AS13">
        <f>$B$3*INDEX(INDEX(Tables!$B$5:$G$85,0,('Custom lights'!$B$5="CIE 1964 10deg")*3+2),9)*INDEX('Custom lights'!$B$8:$B$88,9)</f>
        <v/>
      </c>
      <c r="AT13">
        <f>$B$3*INDEX(INDEX(Tables!$B$5:$G$85,0,('Custom lights'!$B$5="CIE 1964 10deg")*3+3),9)*INDEX('Custom lights'!$B$8:$B$88,9)</f>
        <v/>
      </c>
      <c r="AV13">
        <f>SUMPRODUCT(AR$5:AR$85,Interp!$J$5:$J$85)</f>
        <v/>
      </c>
      <c r="AW13">
        <f>SUMPRODUCT(AS$5:AS$85,Interp!$J$5:$J$85)</f>
        <v/>
      </c>
      <c r="AX13">
        <f>SUMPRODUCT(AT$5:AT$85,Interp!$J$5:$J$85)</f>
        <v/>
      </c>
    </row>
    <row r="14">
      <c r="A14" t="inlineStr">
        <is>
          <t>phi3</t>
        </is>
      </c>
      <c r="B14">
        <f>-ATAN2($C$6,$D$6)</f>
        <v/>
      </c>
      <c r="AR14">
        <f>$B$3*INDEX(INDEX(Tables!$B$5:$G$85,0,('Custom lights'!$B$5="CIE 1964 10deg")*3+1),10)*INDEX('Custom lights'!$B$8:$B$88,10)</f>
        <v/>
      </c>
      <c r="AS14">
        <f>$B$3*INDEX(INDEX(Tables!$B$5:$G$85,0,('Custom lights'!$B$5="CIE 1964 10deg")*3+2),10)*INDEX('Custom lights'!$B$8:$B$88,10)</f>
        <v/>
      </c>
      <c r="AT14">
        <f>$B$3*INDEX(INDEX(Tables!$B$5:$G$85,0,('Custom lights'!$B$5="CIE 1964 10deg")*3+3),10)*INDEX('Custom lights'!$B$8:$B$88,10)</f>
        <v/>
      </c>
      <c r="AV14">
        <f>SUMPRODUCT(AR$5:AR$85,Interp!$K$5:$K$85)</f>
        <v/>
      </c>
      <c r="AW14">
        <f>SUMPRODUCT(AS$5:AS$85,Interp!$K$5:$K$85)</f>
        <v/>
      </c>
      <c r="AX14">
        <f>SUMPRODUCT(AT$5:AT$85,Interp!$K$5:$K$85)</f>
        <v/>
      </c>
    </row>
    <row r="15">
      <c r="B15">
        <f>1</f>
        <v/>
      </c>
      <c r="C15">
        <f>0</f>
        <v/>
      </c>
      <c r="D15">
        <f>0</f>
        <v/>
      </c>
      <c r="AR15">
        <f>$B$3*INDEX(INDEX(Tables!$B$5:$G$85,0,('Custom lights'!$B$5="CIE 1964 10deg")*3+1),11)*INDEX('Custom lights'!$B$8:$B$88,11)</f>
        <v/>
      </c>
      <c r="AS15">
        <f>$B$3*INDEX(INDEX(Tables!$B$5:$G$85,0,('Custom lights'!$B$5="CIE 1964 10deg")*3+2),11)*INDEX('Custom lights'!$B$8:$B$88,11)</f>
        <v/>
      </c>
      <c r="AT15">
        <f>$B$3*INDEX(INDEX(Tables!$B$5:$G$85,0,('Custom lights'!$B$5="CIE 1964 10deg")*3+3),11)*INDEX('Custom lights'!$B$8:$B$88,11)</f>
        <v/>
      </c>
      <c r="AV15">
        <f>SUMPRODUCT(AR$5:AR$85,Interp!$L$5:$L$85)</f>
        <v/>
      </c>
      <c r="AW15">
        <f>SUMPRODUCT(AS$5:AS$85,Interp!$L$5:$L$85)</f>
        <v/>
      </c>
      <c r="AX15">
        <f>SUMPRODUCT(AT$5:AT$85,Interp!$L$5:$L$85)</f>
        <v/>
      </c>
    </row>
    <row r="16">
      <c r="B16">
        <f>0</f>
        <v/>
      </c>
      <c r="C16">
        <f>COS($B$14)</f>
        <v/>
      </c>
      <c r="D16">
        <f>-SIN($B$14)</f>
        <v/>
      </c>
      <c r="AR16">
        <f>$B$3*INDEX(INDEX(Tables!$B$5:$G$85,0,('Custom lights'!$B$5="CIE 1964 10deg")*3+1),12)*INDEX('Custom lights'!$B$8:$B$88,12)</f>
        <v/>
      </c>
      <c r="AS16">
        <f>$B$3*INDEX(INDEX(Tables!$B$5:$G$85,0,('Custom lights'!$B$5="CIE 1964 10deg")*3+2),12)*INDEX('Custom lights'!$B$8:$B$88,12)</f>
        <v/>
      </c>
      <c r="AT16">
        <f>$B$3*INDEX(INDEX(Tables!$B$5:$G$85,0,('Custom lights'!$B$5="CIE 1964 10deg")*3+3),12)*INDEX('Custom lights'!$B$8:$B$88,12)</f>
        <v/>
      </c>
      <c r="AV16">
        <f>SUMPRODUCT(AR$5:AR$85,Interp!$M$5:$M$85)</f>
        <v/>
      </c>
      <c r="AW16">
        <f>SUMPRODUCT(AS$5:AS$85,Interp!$M$5:$M$85)</f>
        <v/>
      </c>
      <c r="AX16">
        <f>SUMPRODUCT(AT$5:AT$85,Interp!$M$5:$M$85)</f>
        <v/>
      </c>
    </row>
    <row r="17">
      <c r="B17">
        <f>0</f>
        <v/>
      </c>
      <c r="C17">
        <f>SIN($B$14)</f>
        <v/>
      </c>
      <c r="D17">
        <f>COS($B$14)</f>
        <v/>
      </c>
      <c r="AR17">
        <f>$B$3*INDEX(INDEX(Tables!$B$5:$G$85,0,('Custom lights'!$B$5="CIE 1964 10deg")*3+1),13)*INDEX('Custom lights'!$B$8:$B$88,13)</f>
        <v/>
      </c>
      <c r="AS17">
        <f>$B$3*INDEX(INDEX(Tables!$B$5:$G$85,0,('Custom lights'!$B$5="CIE 1964 10deg")*3+2),13)*INDEX('Custom lights'!$B$8:$B$88,13)</f>
        <v/>
      </c>
      <c r="AT17">
        <f>$B$3*INDEX(INDEX(Tables!$B$5:$G$85,0,('Custom lights'!$B$5="CIE 1964 10deg")*3+3),13)*INDEX('Custom lights'!$B$8:$B$88,13)</f>
        <v/>
      </c>
      <c r="AV17">
        <f>SUMPRODUCT(AR$5:AR$85,Interp!$N$5:$N$85)</f>
        <v/>
      </c>
      <c r="AW17">
        <f>SUMPRODUCT(AS$5:AS$85,Interp!$N$5:$N$85)</f>
        <v/>
      </c>
      <c r="AX17">
        <f>SUMPRODUCT(AT$5:AT$85,Interp!$N$5:$N$85)</f>
        <v/>
      </c>
    </row>
    <row r="18">
      <c r="AR18">
        <f>$B$3*INDEX(INDEX(Tables!$B$5:$G$85,0,('Custom lights'!$B$5="CIE 1964 10deg")*3+1),14)*INDEX('Custom lights'!$B$8:$B$88,14)</f>
        <v/>
      </c>
      <c r="AS18">
        <f>$B$3*INDEX(INDEX(Tables!$B$5:$G$85,0,('Custom lights'!$B$5="CIE 1964 10deg")*3+2),14)*INDEX('Custom lights'!$B$8:$B$88,14)</f>
        <v/>
      </c>
      <c r="AT18">
        <f>$B$3*INDEX(INDEX(Tables!$B$5:$G$85,0,('Custom lights'!$B$5="CIE 1964 10deg")*3+3),14)*INDEX('Custom lights'!$B$8:$B$88,14)</f>
        <v/>
      </c>
      <c r="AV18">
        <f>SUMPRODUCT(AR$5:AR$85,Interp!$O$5:$O$85)</f>
        <v/>
      </c>
      <c r="AW18">
        <f>SUMPRODUCT(AS$5:AS$85,Interp!$O$5:$O$85)</f>
        <v/>
      </c>
      <c r="AX18">
        <f>SUMPRODUCT(AT$5:AT$85,Interp!$O$5:$O$85)</f>
        <v/>
      </c>
    </row>
    <row r="19">
      <c r="A19" t="inlineStr">
        <is>
          <t>white after R3</t>
        </is>
      </c>
      <c r="B19">
        <f>$B$15*$B$6+$C$15*$C$6+$D$15*$D$6</f>
        <v/>
      </c>
      <c r="C19">
        <f>$B$16*$B$6+$C$16*$C$6+$D$16*$D$6</f>
        <v/>
      </c>
      <c r="D19">
        <f>$B$17*$B$6+$C$17*$C$6+$D$17*$D$6</f>
        <v/>
      </c>
      <c r="AR19">
        <f>$B$3*INDEX(INDEX(Tables!$B$5:$G$85,0,('Custom lights'!$B$5="CIE 1964 10deg")*3+1),15)*INDEX('Custom lights'!$B$8:$B$88,15)</f>
        <v/>
      </c>
      <c r="AS19">
        <f>$B$3*INDEX(INDEX(Tables!$B$5:$G$85,0,('Custom lights'!$B$5="CIE 1964 10deg")*3+2),15)*INDEX('Custom lights'!$B$8:$B$88,15)</f>
        <v/>
      </c>
      <c r="AT19">
        <f>$B$3*INDEX(INDEX(Tables!$B$5:$G$85,0,('Custom lights'!$B$5="CIE 1964 10deg")*3+3),15)*INDEX('Custom lights'!$B$8:$B$88,15)</f>
        <v/>
      </c>
      <c r="AV19">
        <f>SUMPRODUCT(AR$5:AR$85,Interp!$P$5:$P$85)</f>
        <v/>
      </c>
      <c r="AW19">
        <f>SUMPRODUCT(AS$5:AS$85,Interp!$P$5:$P$85)</f>
        <v/>
      </c>
      <c r="AX19">
        <f>SUMPRODUCT(AT$5:AT$85,Interp!$P$5:$P$85)</f>
        <v/>
      </c>
    </row>
    <row r="20">
      <c r="A20" t="inlineStr">
        <is>
          <t>phi2</t>
        </is>
      </c>
      <c r="B20">
        <f>-ATAN2($B$19,$C$19)</f>
        <v/>
      </c>
      <c r="AR20">
        <f>$B$3*INDEX(INDEX(Tables!$B$5:$G$85,0,('Custom lights'!$B$5="CIE 1964 10deg")*3+1),16)*INDEX('Custom lights'!$B$8:$B$88,16)</f>
        <v/>
      </c>
      <c r="AS20">
        <f>$B$3*INDEX(INDEX(Tables!$B$5:$G$85,0,('Custom lights'!$B$5="CIE 1964 10deg")*3+2),16)*INDEX('Custom lights'!$B$8:$B$88,16)</f>
        <v/>
      </c>
      <c r="AT20">
        <f>$B$3*INDEX(INDEX(Tables!$B$5:$G$85,0,('Custom lights'!$B$5="CIE 1964 10deg")*3+3),16)*INDEX('Custom lights'!$B$8:$B$88,16)</f>
        <v/>
      </c>
      <c r="AV20">
        <f>SUMPRODUCT(AR$5:AR$85,Interp!$Q$5:$Q$85)</f>
        <v/>
      </c>
      <c r="AW20">
        <f>SUMPRODUCT(AS$5:AS$85,Interp!$Q$5:$Q$85)</f>
        <v/>
      </c>
      <c r="AX20">
        <f>SUMPRODUCT(AT$5:AT$85,Interp!$Q$5:$Q$85)</f>
        <v/>
      </c>
    </row>
    <row r="21">
      <c r="B21">
        <f>COS($B$20)</f>
        <v/>
      </c>
      <c r="C21">
        <f>-SIN($B$20)</f>
        <v/>
      </c>
      <c r="D21">
        <f>0</f>
        <v/>
      </c>
      <c r="AR21">
        <f>$B$3*INDEX(INDEX(Tables!$B$5:$G$85,0,('Custom lights'!$B$5="CIE 1964 10deg")*3+1),17)*INDEX('Custom lights'!$B$8:$B$88,17)</f>
        <v/>
      </c>
      <c r="AS21">
        <f>$B$3*INDEX(INDEX(Tables!$B$5:$G$85,0,('Custom lights'!$B$5="CIE 1964 10deg")*3+2),17)*INDEX('Custom lights'!$B$8:$B$88,17)</f>
        <v/>
      </c>
      <c r="AT21">
        <f>$B$3*INDEX(INDEX(Tables!$B$5:$G$85,0,('Custom lights'!$B$5="CIE 1964 10deg")*3+3),17)*INDEX('Custom lights'!$B$8:$B$88,17)</f>
        <v/>
      </c>
      <c r="AV21">
        <f>SUMPRODUCT(AR$5:AR$85,Interp!$R$5:$R$85)</f>
        <v/>
      </c>
      <c r="AW21">
        <f>SUMPRODUCT(AS$5:AS$85,Interp!$R$5:$R$85)</f>
        <v/>
      </c>
      <c r="AX21">
        <f>SUMPRODUCT(AT$5:AT$85,Interp!$R$5:$R$85)</f>
        <v/>
      </c>
    </row>
    <row r="22">
      <c r="B22">
        <f>SIN($B$20)</f>
        <v/>
      </c>
      <c r="C22">
        <f>COS($B$20)</f>
        <v/>
      </c>
      <c r="D22">
        <f>0</f>
        <v/>
      </c>
      <c r="AR22">
        <f>$B$3*INDEX(INDEX(Tables!$B$5:$G$85,0,('Custom lights'!$B$5="CIE 1964 10deg")*3+1),18)*INDEX('Custom lights'!$B$8:$B$88,18)</f>
        <v/>
      </c>
      <c r="AS22">
        <f>$B$3*INDEX(INDEX(Tables!$B$5:$G$85,0,('Custom lights'!$B$5="CIE 1964 10deg")*3+2),18)*INDEX('Custom lights'!$B$8:$B$88,18)</f>
        <v/>
      </c>
      <c r="AT22">
        <f>$B$3*INDEX(INDEX(Tables!$B$5:$G$85,0,('Custom lights'!$B$5="CIE 1964 10deg")*3+3),18)*INDEX('Custom lights'!$B$8:$B$88,18)</f>
        <v/>
      </c>
      <c r="AV22">
        <f>SUMPRODUCT(AR$5:AR$85,Interp!$S$5:$S$85)</f>
        <v/>
      </c>
      <c r="AW22">
        <f>SUMPRODUCT(AS$5:AS$85,Interp!$S$5:$S$85)</f>
        <v/>
      </c>
      <c r="AX22">
        <f>SUMPRODUCT(AT$5:AT$85,Interp!$S$5:$S$85)</f>
        <v/>
      </c>
    </row>
    <row r="23">
      <c r="B23">
        <f>0</f>
        <v/>
      </c>
      <c r="C23">
        <f>0</f>
        <v/>
      </c>
      <c r="D23">
        <f>1</f>
        <v/>
      </c>
      <c r="AR23">
        <f>$B$3*INDEX(INDEX(Tables!$B$5:$G$85,0,('Custom lights'!$B$5="CIE 1964 10deg")*3+1),19)*INDEX('Custom lights'!$B$8:$B$88,19)</f>
        <v/>
      </c>
      <c r="AS23">
        <f>$B$3*INDEX(INDEX(Tables!$B$5:$G$85,0,('Custom lights'!$B$5="CIE 1964 10deg")*3+2),19)*INDEX('Custom lights'!$B$8:$B$88,19)</f>
        <v/>
      </c>
      <c r="AT23">
        <f>$B$3*INDEX(INDEX(Tables!$B$5:$G$85,0,('Custom lights'!$B$5="CIE 1964 10deg")*3+3),19)*INDEX('Custom lights'!$B$8:$B$88,19)</f>
        <v/>
      </c>
      <c r="AV23">
        <f>SUMPRODUCT(AR$5:AR$85,Interp!$T$5:$T$85)</f>
        <v/>
      </c>
      <c r="AW23">
        <f>SUMPRODUCT(AS$5:AS$85,Interp!$T$5:$T$85)</f>
        <v/>
      </c>
      <c r="AX23">
        <f>SUMPRODUCT(AT$5:AT$85,Interp!$T$5:$T$85)</f>
        <v/>
      </c>
    </row>
    <row r="24">
      <c r="AR24">
        <f>$B$3*INDEX(INDEX(Tables!$B$5:$G$85,0,('Custom lights'!$B$5="CIE 1964 10deg")*3+1),20)*INDEX('Custom lights'!$B$8:$B$88,20)</f>
        <v/>
      </c>
      <c r="AS24">
        <f>$B$3*INDEX(INDEX(Tables!$B$5:$G$85,0,('Custom lights'!$B$5="CIE 1964 10deg")*3+2),20)*INDEX('Custom lights'!$B$8:$B$88,20)</f>
        <v/>
      </c>
      <c r="AT24">
        <f>$B$3*INDEX(INDEX(Tables!$B$5:$G$85,0,('Custom lights'!$B$5="CIE 1964 10deg")*3+3),20)*INDEX('Custom lights'!$B$8:$B$88,20)</f>
        <v/>
      </c>
      <c r="AV24">
        <f>SUMPRODUCT(AR$5:AR$85,Interp!$U$5:$U$85)</f>
        <v/>
      </c>
      <c r="AW24">
        <f>SUMPRODUCT(AS$5:AS$85,Interp!$U$5:$U$85)</f>
        <v/>
      </c>
      <c r="AX24">
        <f>SUMPRODUCT(AT$5:AT$85,Interp!$U$5:$U$85)</f>
        <v/>
      </c>
    </row>
    <row r="25">
      <c r="A25" t="inlineStr">
        <is>
          <t>R = R2 R3</t>
        </is>
      </c>
      <c r="B25">
        <f>$B$21*$B$15+$C$21*$B$16+$D$21*$B$17</f>
        <v/>
      </c>
      <c r="C25">
        <f>$B$21*$C$15+$C$21*$C$16+$D$21*$C$17</f>
        <v/>
      </c>
      <c r="D25">
        <f>$B$21*$D$15+$C$21*$D$16+$D$21*$D$17</f>
        <v/>
      </c>
      <c r="AR25">
        <f>$B$3*INDEX(INDEX(Tables!$B$5:$G$85,0,('Custom lights'!$B$5="CIE 1964 10deg")*3+1),21)*INDEX('Custom lights'!$B$8:$B$88,21)</f>
        <v/>
      </c>
      <c r="AS25">
        <f>$B$3*INDEX(INDEX(Tables!$B$5:$G$85,0,('Custom lights'!$B$5="CIE 1964 10deg")*3+2),21)*INDEX('Custom lights'!$B$8:$B$88,21)</f>
        <v/>
      </c>
      <c r="AT25">
        <f>$B$3*INDEX(INDEX(Tables!$B$5:$G$85,0,('Custom lights'!$B$5="CIE 1964 10deg")*3+3),21)*INDEX('Custom lights'!$B$8:$B$88,21)</f>
        <v/>
      </c>
      <c r="AV25">
        <f>SUMPRODUCT(AR$5:AR$85,Interp!$V$5:$V$85)</f>
        <v/>
      </c>
      <c r="AW25">
        <f>SUMPRODUCT(AS$5:AS$85,Interp!$V$5:$V$85)</f>
        <v/>
      </c>
      <c r="AX25">
        <f>SUMPRODUCT(AT$5:AT$85,Interp!$V$5:$V$85)</f>
        <v/>
      </c>
    </row>
    <row r="26">
      <c r="B26">
        <f>$B$22*$B$15+$C$22*$B$16+$D$22*$B$17</f>
        <v/>
      </c>
      <c r="C26">
        <f>$B$22*$C$15+$C$22*$C$16+$D$22*$C$17</f>
        <v/>
      </c>
      <c r="D26">
        <f>$B$22*$D$15+$C$22*$D$16+$D$22*$D$17</f>
        <v/>
      </c>
      <c r="AR26">
        <f>$B$3*INDEX(INDEX(Tables!$B$5:$G$85,0,('Custom lights'!$B$5="CIE 1964 10deg")*3+1),22)*INDEX('Custom lights'!$B$8:$B$88,22)</f>
        <v/>
      </c>
      <c r="AS26">
        <f>$B$3*INDEX(INDEX(Tables!$B$5:$G$85,0,('Custom lights'!$B$5="CIE 1964 10deg")*3+2),22)*INDEX('Custom lights'!$B$8:$B$88,22)</f>
        <v/>
      </c>
      <c r="AT26">
        <f>$B$3*INDEX(INDEX(Tables!$B$5:$G$85,0,('Custom lights'!$B$5="CIE 1964 10deg")*3+3),22)*INDEX('Custom lights'!$B$8:$B$88,22)</f>
        <v/>
      </c>
      <c r="AV26">
        <f>SUMPRODUCT(AR$5:AR$85,Interp!$W$5:$W$85)</f>
        <v/>
      </c>
      <c r="AW26">
        <f>SUMPRODUCT(AS$5:AS$85,Interp!$W$5:$W$85)</f>
        <v/>
      </c>
      <c r="AX26">
        <f>SUMPRODUCT(AT$5:AT$85,Interp!$W$5:$W$85)</f>
        <v/>
      </c>
    </row>
    <row r="27">
      <c r="B27">
        <f>$B$23*$B$15+$C$23*$B$16+$D$23*$B$17</f>
        <v/>
      </c>
      <c r="C27">
        <f>$B$23*$C$15+$C$23*$C$16+$D$23*$C$17</f>
        <v/>
      </c>
      <c r="D27">
        <f>$B$23*$D$15+$C$23*$D$16+$D$23*$D$17</f>
        <v/>
      </c>
      <c r="AR27">
        <f>$B$3*INDEX(INDEX(Tables!$B$5:$G$85,0,('Custom lights'!$B$5="CIE 1964 10deg")*3+1),23)*INDEX('Custom lights'!$B$8:$B$88,23)</f>
        <v/>
      </c>
      <c r="AS27">
        <f>$B$3*INDEX(INDEX(Tables!$B$5:$G$85,0,('Custom lights'!$B$5="CIE 1964 10deg")*3+2),23)*INDEX('Custom lights'!$B$8:$B$88,23)</f>
        <v/>
      </c>
      <c r="AT27">
        <f>$B$3*INDEX(INDEX(Tables!$B$5:$G$85,0,('Custom lights'!$B$5="CIE 1964 10deg")*3+3),23)*INDEX('Custom lights'!$B$8:$B$88,23)</f>
        <v/>
      </c>
      <c r="AV27">
        <f>SUMPRODUCT(AR$5:AR$85,Interp!$X$5:$X$85)</f>
        <v/>
      </c>
      <c r="AW27">
        <f>SUMPRODUCT(AS$5:AS$85,Interp!$X$5:$X$85)</f>
        <v/>
      </c>
      <c r="AX27">
        <f>SUMPRODUCT(AT$5:AT$85,Interp!$X$5:$X$85)</f>
        <v/>
      </c>
    </row>
    <row r="28">
      <c r="AR28">
        <f>$B$3*INDEX(INDEX(Tables!$B$5:$G$85,0,('Custom lights'!$B$5="CIE 1964 10deg")*3+1),24)*INDEX('Custom lights'!$B$8:$B$88,24)</f>
        <v/>
      </c>
      <c r="AS28">
        <f>$B$3*INDEX(INDEX(Tables!$B$5:$G$85,0,('Custom lights'!$B$5="CIE 1964 10deg")*3+2),24)*INDEX('Custom lights'!$B$8:$B$88,24)</f>
        <v/>
      </c>
      <c r="AT28">
        <f>$B$3*INDEX(INDEX(Tables!$B$5:$G$85,0,('Custom lights'!$B$5="CIE 1964 10deg")*3+3),24)*INDEX('Custom lights'!$B$8:$B$88,24)</f>
        <v/>
      </c>
      <c r="AV28">
        <f>SUMPRODUCT(AR$5:AR$85,Interp!$Y$5:$Y$85)</f>
        <v/>
      </c>
      <c r="AW28">
        <f>SUMPRODUCT(AS$5:AS$85,Interp!$Y$5:$Y$85)</f>
        <v/>
      </c>
      <c r="AX28">
        <f>SUMPRODUCT(AT$5:AT$85,Interp!$Y$5:$Y$85)</f>
        <v/>
      </c>
    </row>
    <row r="29">
      <c r="A29" t="inlineStr">
        <is>
          <t>Step 2. White W</t>
        </is>
      </c>
      <c r="B29">
        <f>$B$25*$B$6+$C$25*$C$6+$D$25*$D$6</f>
        <v/>
      </c>
      <c r="AR29">
        <f>$B$3*INDEX(INDEX(Tables!$B$5:$G$85,0,('Custom lights'!$B$5="CIE 1964 10deg")*3+1),25)*INDEX('Custom lights'!$B$8:$B$88,25)</f>
        <v/>
      </c>
      <c r="AS29">
        <f>$B$3*INDEX(INDEX(Tables!$B$5:$G$85,0,('Custom lights'!$B$5="CIE 1964 10deg")*3+2),25)*INDEX('Custom lights'!$B$8:$B$88,25)</f>
        <v/>
      </c>
      <c r="AT29">
        <f>$B$3*INDEX(INDEX(Tables!$B$5:$G$85,0,('Custom lights'!$B$5="CIE 1964 10deg")*3+3),25)*INDEX('Custom lights'!$B$8:$B$88,25)</f>
        <v/>
      </c>
      <c r="AV29">
        <f>SUMPRODUCT(AR$5:AR$85,Interp!$Z$5:$Z$85)</f>
        <v/>
      </c>
      <c r="AW29">
        <f>SUMPRODUCT(AS$5:AS$85,Interp!$Z$5:$Z$85)</f>
        <v/>
      </c>
      <c r="AX29">
        <f>SUMPRODUCT(AT$5:AT$85,Interp!$Z$5:$Z$85)</f>
        <v/>
      </c>
    </row>
    <row r="30">
      <c r="AR30">
        <f>$B$3*INDEX(INDEX(Tables!$B$5:$G$85,0,('Custom lights'!$B$5="CIE 1964 10deg")*3+1),26)*INDEX('Custom lights'!$B$8:$B$88,26)</f>
        <v/>
      </c>
      <c r="AS30">
        <f>$B$3*INDEX(INDEX(Tables!$B$5:$G$85,0,('Custom lights'!$B$5="CIE 1964 10deg")*3+2),26)*INDEX('Custom lights'!$B$8:$B$88,26)</f>
        <v/>
      </c>
      <c r="AT30">
        <f>$B$3*INDEX(INDEX(Tables!$B$5:$G$85,0,('Custom lights'!$B$5="CIE 1964 10deg")*3+3),26)*INDEX('Custom lights'!$B$8:$B$88,26)</f>
        <v/>
      </c>
      <c r="AV30">
        <f>SUMPRODUCT(AR$5:AR$85,Interp!$AA$5:$AA$85)</f>
        <v/>
      </c>
      <c r="AW30">
        <f>SUMPRODUCT(AS$5:AS$85,Interp!$AA$5:$AA$85)</f>
        <v/>
      </c>
      <c r="AX30">
        <f>SUMPRODUCT(AT$5:AT$85,Interp!$AA$5:$AA$85)</f>
        <v/>
      </c>
    </row>
    <row r="31">
      <c r="A31" t="inlineStr">
        <is>
          <t>M1</t>
        </is>
      </c>
      <c r="B31">
        <f>$B$25*100/$B$29</f>
        <v/>
      </c>
      <c r="C31">
        <f>$C$25*100/$B$29</f>
        <v/>
      </c>
      <c r="D31">
        <f>$D$25*100/$B$29</f>
        <v/>
      </c>
      <c r="AR31">
        <f>$B$3*INDEX(INDEX(Tables!$B$5:$G$85,0,('Custom lights'!$B$5="CIE 1964 10deg")*3+1),27)*INDEX('Custom lights'!$B$8:$B$88,27)</f>
        <v/>
      </c>
      <c r="AS31">
        <f>$B$3*INDEX(INDEX(Tables!$B$5:$G$85,0,('Custom lights'!$B$5="CIE 1964 10deg")*3+2),27)*INDEX('Custom lights'!$B$8:$B$88,27)</f>
        <v/>
      </c>
      <c r="AT31">
        <f>$B$3*INDEX(INDEX(Tables!$B$5:$G$85,0,('Custom lights'!$B$5="CIE 1964 10deg")*3+3),27)*INDEX('Custom lights'!$B$8:$B$88,27)</f>
        <v/>
      </c>
      <c r="AV31">
        <f>SUMPRODUCT(AR$5:AR$85,Interp!$AB$5:$AB$85)</f>
        <v/>
      </c>
      <c r="AW31">
        <f>SUMPRODUCT(AS$5:AS$85,Interp!$AB$5:$AB$85)</f>
        <v/>
      </c>
      <c r="AX31">
        <f>SUMPRODUCT(AT$5:AT$85,Interp!$AB$5:$AB$85)</f>
        <v/>
      </c>
    </row>
    <row r="32">
      <c r="B32">
        <f>$B$26</f>
        <v/>
      </c>
      <c r="C32">
        <f>$C$26</f>
        <v/>
      </c>
      <c r="D32">
        <f>$D$26</f>
        <v/>
      </c>
      <c r="AR32">
        <f>$B$3*INDEX(INDEX(Tables!$B$5:$G$85,0,('Custom lights'!$B$5="CIE 1964 10deg")*3+1),28)*INDEX('Custom lights'!$B$8:$B$88,28)</f>
        <v/>
      </c>
      <c r="AS32">
        <f>$B$3*INDEX(INDEX(Tables!$B$5:$G$85,0,('Custom lights'!$B$5="CIE 1964 10deg")*3+2),28)*INDEX('Custom lights'!$B$8:$B$88,28)</f>
        <v/>
      </c>
      <c r="AT32">
        <f>$B$3*INDEX(INDEX(Tables!$B$5:$G$85,0,('Custom lights'!$B$5="CIE 1964 10deg")*3+3),28)*INDEX('Custom lights'!$B$8:$B$88,28)</f>
        <v/>
      </c>
      <c r="AV32">
        <f>SUMPRODUCT(AR$5:AR$85,Interp!$AC$5:$AC$85)</f>
        <v/>
      </c>
      <c r="AW32">
        <f>SUMPRODUCT(AS$5:AS$85,Interp!$AC$5:$AC$85)</f>
        <v/>
      </c>
      <c r="AX32">
        <f>SUMPRODUCT(AT$5:AT$85,Interp!$AC$5:$AC$85)</f>
        <v/>
      </c>
    </row>
    <row r="33">
      <c r="B33">
        <f>$B$27</f>
        <v/>
      </c>
      <c r="C33">
        <f>$C$27</f>
        <v/>
      </c>
      <c r="D33">
        <f>$D$27</f>
        <v/>
      </c>
      <c r="AR33">
        <f>$B$3*INDEX(INDEX(Tables!$B$5:$G$85,0,('Custom lights'!$B$5="CIE 1964 10deg")*3+1),29)*INDEX('Custom lights'!$B$8:$B$88,29)</f>
        <v/>
      </c>
      <c r="AS33">
        <f>$B$3*INDEX(INDEX(Tables!$B$5:$G$85,0,('Custom lights'!$B$5="CIE 1964 10deg")*3+2),29)*INDEX('Custom lights'!$B$8:$B$88,29)</f>
        <v/>
      </c>
      <c r="AT33">
        <f>$B$3*INDEX(INDEX(Tables!$B$5:$G$85,0,('Custom lights'!$B$5="CIE 1964 10deg")*3+3),29)*INDEX('Custom lights'!$B$8:$B$88,29)</f>
        <v/>
      </c>
      <c r="AV33">
        <f>SUMPRODUCT(AR$5:AR$85,Interp!$AD$5:$AD$85)</f>
        <v/>
      </c>
      <c r="AW33">
        <f>SUMPRODUCT(AS$5:AS$85,Interp!$AD$5:$AD$85)</f>
        <v/>
      </c>
      <c r="AX33">
        <f>SUMPRODUCT(AT$5:AT$85,Interp!$AD$5:$AD$85)</f>
        <v/>
      </c>
    </row>
    <row r="34">
      <c r="AR34">
        <f>$B$3*INDEX(INDEX(Tables!$B$5:$G$85,0,('Custom lights'!$B$5="CIE 1964 10deg")*3+1),30)*INDEX('Custom lights'!$B$8:$B$88,30)</f>
        <v/>
      </c>
      <c r="AS34">
        <f>$B$3*INDEX(INDEX(Tables!$B$5:$G$85,0,('Custom lights'!$B$5="CIE 1964 10deg")*3+2),30)*INDEX('Custom lights'!$B$8:$B$88,30)</f>
        <v/>
      </c>
      <c r="AT34">
        <f>$B$3*INDEX(INDEX(Tables!$B$5:$G$85,0,('Custom lights'!$B$5="CIE 1964 10deg")*3+3),30)*INDEX('Custom lights'!$B$8:$B$88,30)</f>
        <v/>
      </c>
      <c r="AV34">
        <f>SUMPRODUCT(AR$5:AR$85,Interp!$AE$5:$AE$85)</f>
        <v/>
      </c>
      <c r="AW34">
        <f>SUMPRODUCT(AS$5:AS$85,Interp!$AE$5:$AE$85)</f>
        <v/>
      </c>
      <c r="AX34">
        <f>SUMPRODUCT(AT$5:AT$85,Interp!$AE$5:$AE$85)</f>
        <v/>
      </c>
    </row>
    <row r="35">
      <c r="A35" t="inlineStr">
        <is>
          <t>Step 3. M1 times base XYZ (u, v, z in rows 35-37)</t>
        </is>
      </c>
      <c r="C35">
        <f>$B$31*C9+$C$31*C10+$D$31*C11</f>
        <v/>
      </c>
      <c r="D35">
        <f>$B$31*D9+$C$31*D10+$D$31*D11</f>
        <v/>
      </c>
      <c r="E35">
        <f>$B$31*E9+$C$31*E10+$D$31*E11</f>
        <v/>
      </c>
      <c r="F35">
        <f>$B$31*F9+$C$31*F10+$D$31*F11</f>
        <v/>
      </c>
      <c r="G35">
        <f>$B$31*G9+$C$31*G10+$D$31*G11</f>
        <v/>
      </c>
      <c r="H35">
        <f>$B$31*H9+$C$31*H10+$D$31*H11</f>
        <v/>
      </c>
      <c r="I35">
        <f>$B$31*I9+$C$31*I10+$D$31*I11</f>
        <v/>
      </c>
      <c r="J35">
        <f>$B$31*J9+$C$31*J10+$D$31*J11</f>
        <v/>
      </c>
      <c r="K35">
        <f>$B$31*K9+$C$31*K10+$D$31*K11</f>
        <v/>
      </c>
      <c r="L35">
        <f>$B$31*L9+$C$31*L10+$D$31*L11</f>
        <v/>
      </c>
      <c r="M35">
        <f>$B$31*M9+$C$31*M10+$D$31*M11</f>
        <v/>
      </c>
      <c r="N35">
        <f>$B$31*N9+$C$31*N10+$D$31*N11</f>
        <v/>
      </c>
      <c r="O35">
        <f>$B$31*O9+$C$31*O10+$D$31*O11</f>
        <v/>
      </c>
      <c r="P35">
        <f>$B$31*P9+$C$31*P10+$D$31*P11</f>
        <v/>
      </c>
      <c r="Q35">
        <f>$B$31*Q9+$C$31*Q10+$D$31*Q11</f>
        <v/>
      </c>
      <c r="R35">
        <f>$B$31*R9+$C$31*R10+$D$31*R11</f>
        <v/>
      </c>
      <c r="S35">
        <f>$B$31*S9+$C$31*S10+$D$31*S11</f>
        <v/>
      </c>
      <c r="T35">
        <f>$B$31*T9+$C$31*T10+$D$31*T11</f>
        <v/>
      </c>
      <c r="U35">
        <f>$B$31*U9+$C$31*U10+$D$31*U11</f>
        <v/>
      </c>
      <c r="V35">
        <f>$B$31*V9+$C$31*V10+$D$31*V11</f>
        <v/>
      </c>
      <c r="W35">
        <f>$B$31*W9+$C$31*W10+$D$31*W11</f>
        <v/>
      </c>
      <c r="X35">
        <f>$B$31*X9+$C$31*X10+$D$31*X11</f>
        <v/>
      </c>
      <c r="Y35">
        <f>$B$31*Y9+$C$31*Y10+$D$31*Y11</f>
        <v/>
      </c>
      <c r="Z35">
        <f>$B$31*Z9+$C$31*Z10+$D$31*Z11</f>
        <v/>
      </c>
      <c r="AA35">
        <f>$B$31*AA9+$C$31*AA10+$D$31*AA11</f>
        <v/>
      </c>
      <c r="AB35">
        <f>$B$31*AB9+$C$31*AB10+$D$31*AB11</f>
        <v/>
      </c>
      <c r="AC35">
        <f>$B$31*AC9+$C$31*AC10+$D$31*AC11</f>
        <v/>
      </c>
      <c r="AD35">
        <f>$B$31*AD9+$C$31*AD10+$D$31*AD11</f>
        <v/>
      </c>
      <c r="AE35">
        <f>$B$31*AE9+$C$31*AE10+$D$31*AE11</f>
        <v/>
      </c>
      <c r="AF35">
        <f>$B$31*AF9+$C$31*AF10+$D$31*AF11</f>
        <v/>
      </c>
      <c r="AG35">
        <f>$B$31*AG9+$C$31*AG10+$D$31*AG11</f>
        <v/>
      </c>
      <c r="AH35">
        <f>$B$31*AH9+$C$31*AH10+$D$31*AH11</f>
        <v/>
      </c>
      <c r="AI35">
        <f>$B$31*AI9+$C$31*AI10+$D$31*AI11</f>
        <v/>
      </c>
      <c r="AJ35">
        <f>$B$31*AJ9+$C$31*AJ10+$D$31*AJ11</f>
        <v/>
      </c>
      <c r="AK35">
        <f>$B$31*AK9+$C$31*AK10+$D$31*AK11</f>
        <v/>
      </c>
      <c r="AL35">
        <f>$B$31*AL9+$C$31*AL10+$D$31*AL11</f>
        <v/>
      </c>
      <c r="AM35">
        <f>$B$31*AM9+$C$31*AM10+$D$31*AM11</f>
        <v/>
      </c>
      <c r="AN35">
        <f>$B$31*AN9+$C$31*AN10+$D$31*AN11</f>
        <v/>
      </c>
      <c r="AO35">
        <f>$B$31*AO9+$C$31*AO10+$D$31*AO11</f>
        <v/>
      </c>
      <c r="AP35">
        <f>$B$31*AP9+$C$31*AP10+$D$31*AP11</f>
        <v/>
      </c>
      <c r="AR35">
        <f>$B$3*INDEX(INDEX(Tables!$B$5:$G$85,0,('Custom lights'!$B$5="CIE 1964 10deg")*3+1),31)*INDEX('Custom lights'!$B$8:$B$88,31)</f>
        <v/>
      </c>
      <c r="AS35">
        <f>$B$3*INDEX(INDEX(Tables!$B$5:$G$85,0,('Custom lights'!$B$5="CIE 1964 10deg")*3+2),31)*INDEX('Custom lights'!$B$8:$B$88,31)</f>
        <v/>
      </c>
      <c r="AT35">
        <f>$B$3*INDEX(INDEX(Tables!$B$5:$G$85,0,('Custom lights'!$B$5="CIE 1964 10deg")*3+3),31)*INDEX('Custom lights'!$B$8:$B$88,31)</f>
        <v/>
      </c>
      <c r="AV35">
        <f>SUMPRODUCT(AR$5:AR$85,Interp!$AF$5:$AF$85)</f>
        <v/>
      </c>
      <c r="AW35">
        <f>SUMPRODUCT(AS$5:AS$85,Interp!$AF$5:$AF$85)</f>
        <v/>
      </c>
      <c r="AX35">
        <f>SUMPRODUCT(AT$5:AT$85,Interp!$AF$5:$AF$85)</f>
        <v/>
      </c>
    </row>
    <row r="36">
      <c r="C36">
        <f>$B$32*C9+$C$32*C10+$D$32*C11</f>
        <v/>
      </c>
      <c r="D36">
        <f>$B$32*D9+$C$32*D10+$D$32*D11</f>
        <v/>
      </c>
      <c r="E36">
        <f>$B$32*E9+$C$32*E10+$D$32*E11</f>
        <v/>
      </c>
      <c r="F36">
        <f>$B$32*F9+$C$32*F10+$D$32*F11</f>
        <v/>
      </c>
      <c r="G36">
        <f>$B$32*G9+$C$32*G10+$D$32*G11</f>
        <v/>
      </c>
      <c r="H36">
        <f>$B$32*H9+$C$32*H10+$D$32*H11</f>
        <v/>
      </c>
      <c r="I36">
        <f>$B$32*I9+$C$32*I10+$D$32*I11</f>
        <v/>
      </c>
      <c r="J36">
        <f>$B$32*J9+$C$32*J10+$D$32*J11</f>
        <v/>
      </c>
      <c r="K36">
        <f>$B$32*K9+$C$32*K10+$D$32*K11</f>
        <v/>
      </c>
      <c r="L36">
        <f>$B$32*L9+$C$32*L10+$D$32*L11</f>
        <v/>
      </c>
      <c r="M36">
        <f>$B$32*M9+$C$32*M10+$D$32*M11</f>
        <v/>
      </c>
      <c r="N36">
        <f>$B$32*N9+$C$32*N10+$D$32*N11</f>
        <v/>
      </c>
      <c r="O36">
        <f>$B$32*O9+$C$32*O10+$D$32*O11</f>
        <v/>
      </c>
      <c r="P36">
        <f>$B$32*P9+$C$32*P10+$D$32*P11</f>
        <v/>
      </c>
      <c r="Q36">
        <f>$B$32*Q9+$C$32*Q10+$D$32*Q11</f>
        <v/>
      </c>
      <c r="R36">
        <f>$B$32*R9+$C$32*R10+$D$32*R11</f>
        <v/>
      </c>
      <c r="S36">
        <f>$B$32*S9+$C$32*S10+$D$32*S11</f>
        <v/>
      </c>
      <c r="T36">
        <f>$B$32*T9+$C$32*T10+$D$32*T11</f>
        <v/>
      </c>
      <c r="U36">
        <f>$B$32*U9+$C$32*U10+$D$32*U11</f>
        <v/>
      </c>
      <c r="V36">
        <f>$B$32*V9+$C$32*V10+$D$32*V11</f>
        <v/>
      </c>
      <c r="W36">
        <f>$B$32*W9+$C$32*W10+$D$32*W11</f>
        <v/>
      </c>
      <c r="X36">
        <f>$B$32*X9+$C$32*X10+$D$32*X11</f>
        <v/>
      </c>
      <c r="Y36">
        <f>$B$32*Y9+$C$32*Y10+$D$32*Y11</f>
        <v/>
      </c>
      <c r="Z36">
        <f>$B$32*Z9+$C$32*Z10+$D$32*Z11</f>
        <v/>
      </c>
      <c r="AA36">
        <f>$B$32*AA9+$C$32*AA10+$D$32*AA11</f>
        <v/>
      </c>
      <c r="AB36">
        <f>$B$32*AB9+$C$32*AB10+$D$32*AB11</f>
        <v/>
      </c>
      <c r="AC36">
        <f>$B$32*AC9+$C$32*AC10+$D$32*AC11</f>
        <v/>
      </c>
      <c r="AD36">
        <f>$B$32*AD9+$C$32*AD10+$D$32*AD11</f>
        <v/>
      </c>
      <c r="AE36">
        <f>$B$32*AE9+$C$32*AE10+$D$32*AE11</f>
        <v/>
      </c>
      <c r="AF36">
        <f>$B$32*AF9+$C$32*AF10+$D$32*AF11</f>
        <v/>
      </c>
      <c r="AG36">
        <f>$B$32*AG9+$C$32*AG10+$D$32*AG11</f>
        <v/>
      </c>
      <c r="AH36">
        <f>$B$32*AH9+$C$32*AH10+$D$32*AH11</f>
        <v/>
      </c>
      <c r="AI36">
        <f>$B$32*AI9+$C$32*AI10+$D$32*AI11</f>
        <v/>
      </c>
      <c r="AJ36">
        <f>$B$32*AJ9+$C$32*AJ10+$D$32*AJ11</f>
        <v/>
      </c>
      <c r="AK36">
        <f>$B$32*AK9+$C$32*AK10+$D$32*AK11</f>
        <v/>
      </c>
      <c r="AL36">
        <f>$B$32*AL9+$C$32*AL10+$D$32*AL11</f>
        <v/>
      </c>
      <c r="AM36">
        <f>$B$32*AM9+$C$32*AM10+$D$32*AM11</f>
        <v/>
      </c>
      <c r="AN36">
        <f>$B$32*AN9+$C$32*AN10+$D$32*AN11</f>
        <v/>
      </c>
      <c r="AO36">
        <f>$B$32*AO9+$C$32*AO10+$D$32*AO11</f>
        <v/>
      </c>
      <c r="AP36">
        <f>$B$32*AP9+$C$32*AP10+$D$32*AP11</f>
        <v/>
      </c>
      <c r="AR36">
        <f>$B$3*INDEX(INDEX(Tables!$B$5:$G$85,0,('Custom lights'!$B$5="CIE 1964 10deg")*3+1),32)*INDEX('Custom lights'!$B$8:$B$88,32)</f>
        <v/>
      </c>
      <c r="AS36">
        <f>$B$3*INDEX(INDEX(Tables!$B$5:$G$85,0,('Custom lights'!$B$5="CIE 1964 10deg")*3+2),32)*INDEX('Custom lights'!$B$8:$B$88,32)</f>
        <v/>
      </c>
      <c r="AT36">
        <f>$B$3*INDEX(INDEX(Tables!$B$5:$G$85,0,('Custom lights'!$B$5="CIE 1964 10deg")*3+3),32)*INDEX('Custom lights'!$B$8:$B$88,32)</f>
        <v/>
      </c>
      <c r="AV36">
        <f>SUMPRODUCT(AR$5:AR$85,Interp!$AG$5:$AG$85)</f>
        <v/>
      </c>
      <c r="AW36">
        <f>SUMPRODUCT(AS$5:AS$85,Interp!$AG$5:$AG$85)</f>
        <v/>
      </c>
      <c r="AX36">
        <f>SUMPRODUCT(AT$5:AT$85,Interp!$AG$5:$AG$85)</f>
        <v/>
      </c>
    </row>
    <row r="37">
      <c r="C37">
        <f>$B$33*C9+$C$33*C10+$D$33*C11</f>
        <v/>
      </c>
      <c r="D37">
        <f>$B$33*D9+$C$33*D10+$D$33*D11</f>
        <v/>
      </c>
      <c r="E37">
        <f>$B$33*E9+$C$33*E10+$D$33*E11</f>
        <v/>
      </c>
      <c r="F37">
        <f>$B$33*F9+$C$33*F10+$D$33*F11</f>
        <v/>
      </c>
      <c r="G37">
        <f>$B$33*G9+$C$33*G10+$D$33*G11</f>
        <v/>
      </c>
      <c r="H37">
        <f>$B$33*H9+$C$33*H10+$D$33*H11</f>
        <v/>
      </c>
      <c r="I37">
        <f>$B$33*I9+$C$33*I10+$D$33*I11</f>
        <v/>
      </c>
      <c r="J37">
        <f>$B$33*J9+$C$33*J10+$D$33*J11</f>
        <v/>
      </c>
      <c r="K37">
        <f>$B$33*K9+$C$33*K10+$D$33*K11</f>
        <v/>
      </c>
      <c r="L37">
        <f>$B$33*L9+$C$33*L10+$D$33*L11</f>
        <v/>
      </c>
      <c r="M37">
        <f>$B$33*M9+$C$33*M10+$D$33*M11</f>
        <v/>
      </c>
      <c r="N37">
        <f>$B$33*N9+$C$33*N10+$D$33*N11</f>
        <v/>
      </c>
      <c r="O37">
        <f>$B$33*O9+$C$33*O10+$D$33*O11</f>
        <v/>
      </c>
      <c r="P37">
        <f>$B$33*P9+$C$33*P10+$D$33*P11</f>
        <v/>
      </c>
      <c r="Q37">
        <f>$B$33*Q9+$C$33*Q10+$D$33*Q11</f>
        <v/>
      </c>
      <c r="R37">
        <f>$B$33*R9+$C$33*R10+$D$33*R11</f>
        <v/>
      </c>
      <c r="S37">
        <f>$B$33*S9+$C$33*S10+$D$33*S11</f>
        <v/>
      </c>
      <c r="T37">
        <f>$B$33*T9+$C$33*T10+$D$33*T11</f>
        <v/>
      </c>
      <c r="U37">
        <f>$B$33*U9+$C$33*U10+$D$33*U11</f>
        <v/>
      </c>
      <c r="V37">
        <f>$B$33*V9+$C$33*V10+$D$33*V11</f>
        <v/>
      </c>
      <c r="W37">
        <f>$B$33*W9+$C$33*W10+$D$33*W11</f>
        <v/>
      </c>
      <c r="X37">
        <f>$B$33*X9+$C$33*X10+$D$33*X11</f>
        <v/>
      </c>
      <c r="Y37">
        <f>$B$33*Y9+$C$33*Y10+$D$33*Y11</f>
        <v/>
      </c>
      <c r="Z37">
        <f>$B$33*Z9+$C$33*Z10+$D$33*Z11</f>
        <v/>
      </c>
      <c r="AA37">
        <f>$B$33*AA9+$C$33*AA10+$D$33*AA11</f>
        <v/>
      </c>
      <c r="AB37">
        <f>$B$33*AB9+$C$33*AB10+$D$33*AB11</f>
        <v/>
      </c>
      <c r="AC37">
        <f>$B$33*AC9+$C$33*AC10+$D$33*AC11</f>
        <v/>
      </c>
      <c r="AD37">
        <f>$B$33*AD9+$C$33*AD10+$D$33*AD11</f>
        <v/>
      </c>
      <c r="AE37">
        <f>$B$33*AE9+$C$33*AE10+$D$33*AE11</f>
        <v/>
      </c>
      <c r="AF37">
        <f>$B$33*AF9+$C$33*AF10+$D$33*AF11</f>
        <v/>
      </c>
      <c r="AG37">
        <f>$B$33*AG9+$C$33*AG10+$D$33*AG11</f>
        <v/>
      </c>
      <c r="AH37">
        <f>$B$33*AH9+$C$33*AH10+$D$33*AH11</f>
        <v/>
      </c>
      <c r="AI37">
        <f>$B$33*AI9+$C$33*AI10+$D$33*AI11</f>
        <v/>
      </c>
      <c r="AJ37">
        <f>$B$33*AJ9+$C$33*AJ10+$D$33*AJ11</f>
        <v/>
      </c>
      <c r="AK37">
        <f>$B$33*AK9+$C$33*AK10+$D$33*AK11</f>
        <v/>
      </c>
      <c r="AL37">
        <f>$B$33*AL9+$C$33*AL10+$D$33*AL11</f>
        <v/>
      </c>
      <c r="AM37">
        <f>$B$33*AM9+$C$33*AM10+$D$33*AM11</f>
        <v/>
      </c>
      <c r="AN37">
        <f>$B$33*AN9+$C$33*AN10+$D$33*AN11</f>
        <v/>
      </c>
      <c r="AO37">
        <f>$B$33*AO9+$C$33*AO10+$D$33*AO11</f>
        <v/>
      </c>
      <c r="AP37">
        <f>$B$33*AP9+$C$33*AP10+$D$33*AP11</f>
        <v/>
      </c>
      <c r="AR37">
        <f>$B$3*INDEX(INDEX(Tables!$B$5:$G$85,0,('Custom lights'!$B$5="CIE 1964 10deg")*3+1),33)*INDEX('Custom lights'!$B$8:$B$88,33)</f>
        <v/>
      </c>
      <c r="AS37">
        <f>$B$3*INDEX(INDEX(Tables!$B$5:$G$85,0,('Custom lights'!$B$5="CIE 1964 10deg")*3+2),33)*INDEX('Custom lights'!$B$8:$B$88,33)</f>
        <v/>
      </c>
      <c r="AT37">
        <f>$B$3*INDEX(INDEX(Tables!$B$5:$G$85,0,('Custom lights'!$B$5="CIE 1964 10deg")*3+3),33)*INDEX('Custom lights'!$B$8:$B$88,33)</f>
        <v/>
      </c>
      <c r="AV37">
        <f>SUMPRODUCT(AR$5:AR$85,Interp!$AH$5:$AH$85)</f>
        <v/>
      </c>
      <c r="AW37">
        <f>SUMPRODUCT(AS$5:AS$85,Interp!$AH$5:$AH$85)</f>
        <v/>
      </c>
      <c r="AX37">
        <f>SUMPRODUCT(AT$5:AT$85,Interp!$AH$5:$AH$85)</f>
        <v/>
      </c>
    </row>
    <row r="38">
      <c r="AR38">
        <f>$B$3*INDEX(INDEX(Tables!$B$5:$G$85,0,('Custom lights'!$B$5="CIE 1964 10deg")*3+1),34)*INDEX('Custom lights'!$B$8:$B$88,34)</f>
        <v/>
      </c>
      <c r="AS38">
        <f>$B$3*INDEX(INDEX(Tables!$B$5:$G$85,0,('Custom lights'!$B$5="CIE 1964 10deg")*3+2),34)*INDEX('Custom lights'!$B$8:$B$88,34)</f>
        <v/>
      </c>
      <c r="AT38">
        <f>$B$3*INDEX(INDEX(Tables!$B$5:$G$85,0,('Custom lights'!$B$5="CIE 1964 10deg")*3+3),34)*INDEX('Custom lights'!$B$8:$B$88,34)</f>
        <v/>
      </c>
      <c r="AV38">
        <f>SUMPRODUCT(AR$5:AR$85,Interp!$AI$5:$AI$85)</f>
        <v/>
      </c>
      <c r="AW38">
        <f>SUMPRODUCT(AS$5:AS$85,Interp!$AI$5:$AI$85)</f>
        <v/>
      </c>
      <c r="AX38">
        <f>SUMPRODUCT(AT$5:AT$85,Interp!$AI$5:$AI$85)</f>
        <v/>
      </c>
    </row>
    <row r="39">
      <c r="B39" t="inlineStr">
        <is>
          <t>Svv</t>
        </is>
      </c>
      <c r="C39" t="inlineStr">
        <is>
          <t>Svz</t>
        </is>
      </c>
      <c r="D39" t="inlineStr">
        <is>
          <t>Sv</t>
        </is>
      </c>
      <c r="E39" t="inlineStr">
        <is>
          <t>Szz</t>
        </is>
      </c>
      <c r="F39" t="inlineStr">
        <is>
          <t>Sz</t>
        </is>
      </c>
      <c r="G39" t="inlineStr">
        <is>
          <t>n</t>
        </is>
      </c>
      <c r="H39" t="inlineStr">
        <is>
          <t>Suv</t>
        </is>
      </c>
      <c r="I39" t="inlineStr">
        <is>
          <t>Suz</t>
        </is>
      </c>
      <c r="J39" t="inlineStr">
        <is>
          <t>Su</t>
        </is>
      </c>
      <c r="AR39">
        <f>$B$3*INDEX(INDEX(Tables!$B$5:$G$85,0,('Custom lights'!$B$5="CIE 1964 10deg")*3+1),35)*INDEX('Custom lights'!$B$8:$B$88,35)</f>
        <v/>
      </c>
      <c r="AS39">
        <f>$B$3*INDEX(INDEX(Tables!$B$5:$G$85,0,('Custom lights'!$B$5="CIE 1964 10deg")*3+2),35)*INDEX('Custom lights'!$B$8:$B$88,35)</f>
        <v/>
      </c>
      <c r="AT39">
        <f>$B$3*INDEX(INDEX(Tables!$B$5:$G$85,0,('Custom lights'!$B$5="CIE 1964 10deg")*3+3),35)*INDEX('Custom lights'!$B$8:$B$88,35)</f>
        <v/>
      </c>
      <c r="AV39">
        <f>SUMPRODUCT(AR$5:AR$85,Interp!$AJ$5:$AJ$85)</f>
        <v/>
      </c>
      <c r="AW39">
        <f>SUMPRODUCT(AS$5:AS$85,Interp!$AJ$5:$AJ$85)</f>
        <v/>
      </c>
      <c r="AX39">
        <f>SUMPRODUCT(AT$5:AT$85,Interp!$AJ$5:$AJ$85)</f>
        <v/>
      </c>
    </row>
    <row r="40">
      <c r="B40">
        <f>SUMPRODUCT($C$36:$AP$36,$C$36:$AP$36)</f>
        <v/>
      </c>
      <c r="C40">
        <f>SUMPRODUCT($C$36:$AP$36,$C$37:$AP$37)</f>
        <v/>
      </c>
      <c r="D40">
        <f>SUM($C$36:$AP$36)</f>
        <v/>
      </c>
      <c r="E40">
        <f>SUMPRODUCT($C$37:$AP$37,$C$37:$AP$37)</f>
        <v/>
      </c>
      <c r="F40">
        <f>SUM($C$37:$AP$37)</f>
        <v/>
      </c>
      <c r="G40">
        <f>COUNT($C$35:$AP$35)</f>
        <v/>
      </c>
      <c r="H40">
        <f>SUMPRODUCT($C$35:$AP$35,$C$36:$AP$36)</f>
        <v/>
      </c>
      <c r="I40">
        <f>SUMPRODUCT($C$35:$AP$35,$C$37:$AP$37)</f>
        <v/>
      </c>
      <c r="J40">
        <f>SUM($C$35:$AP$35)</f>
        <v/>
      </c>
      <c r="AR40">
        <f>$B$3*INDEX(INDEX(Tables!$B$5:$G$85,0,('Custom lights'!$B$5="CIE 1964 10deg")*3+1),36)*INDEX('Custom lights'!$B$8:$B$88,36)</f>
        <v/>
      </c>
      <c r="AS40">
        <f>$B$3*INDEX(INDEX(Tables!$B$5:$G$85,0,('Custom lights'!$B$5="CIE 1964 10deg")*3+2),36)*INDEX('Custom lights'!$B$8:$B$88,36)</f>
        <v/>
      </c>
      <c r="AT40">
        <f>$B$3*INDEX(INDEX(Tables!$B$5:$G$85,0,('Custom lights'!$B$5="CIE 1964 10deg")*3+3),36)*INDEX('Custom lights'!$B$8:$B$88,36)</f>
        <v/>
      </c>
      <c r="AV40">
        <f>SUMPRODUCT(AR$5:AR$85,Interp!$AK$5:$AK$85)</f>
        <v/>
      </c>
      <c r="AW40">
        <f>SUMPRODUCT(AS$5:AS$85,Interp!$AK$5:$AK$85)</f>
        <v/>
      </c>
      <c r="AX40">
        <f>SUMPRODUCT(AT$5:AT$85,Interp!$AK$5:$AK$85)</f>
        <v/>
      </c>
    </row>
    <row r="41">
      <c r="AR41">
        <f>$B$3*INDEX(INDEX(Tables!$B$5:$G$85,0,('Custom lights'!$B$5="CIE 1964 10deg")*3+1),37)*INDEX('Custom lights'!$B$8:$B$88,37)</f>
        <v/>
      </c>
      <c r="AS41">
        <f>$B$3*INDEX(INDEX(Tables!$B$5:$G$85,0,('Custom lights'!$B$5="CIE 1964 10deg")*3+2),37)*INDEX('Custom lights'!$B$8:$B$88,37)</f>
        <v/>
      </c>
      <c r="AT41">
        <f>$B$3*INDEX(INDEX(Tables!$B$5:$G$85,0,('Custom lights'!$B$5="CIE 1964 10deg")*3+3),37)*INDEX('Custom lights'!$B$8:$B$88,37)</f>
        <v/>
      </c>
    </row>
    <row r="42">
      <c r="A42" t="inlineStr">
        <is>
          <t>det</t>
        </is>
      </c>
      <c r="B42">
        <f>($B$40*($E$40*$G$40-$F$40*$F$40)-$C$40*($C$40*$G$40-$F$40*$D$40)+$D$40*($C$40*$F$40-$E$40*$D$40))</f>
        <v/>
      </c>
      <c r="AR42">
        <f>$B$3*INDEX(INDEX(Tables!$B$5:$G$85,0,('Custom lights'!$B$5="CIE 1964 10deg")*3+1),38)*INDEX('Custom lights'!$B$8:$B$88,38)</f>
        <v/>
      </c>
      <c r="AS42">
        <f>$B$3*INDEX(INDEX(Tables!$B$5:$G$85,0,('Custom lights'!$B$5="CIE 1964 10deg")*3+2),38)*INDEX('Custom lights'!$B$8:$B$88,38)</f>
        <v/>
      </c>
      <c r="AT42">
        <f>$B$3*INDEX(INDEX(Tables!$B$5:$G$85,0,('Custom lights'!$B$5="CIE 1964 10deg")*3+3),38)*INDEX('Custom lights'!$B$8:$B$88,38)</f>
        <v/>
      </c>
    </row>
    <row r="43">
      <c r="A43" t="inlineStr">
        <is>
          <t>alpha1, alpha2, alpha0</t>
        </is>
      </c>
      <c r="B43">
        <f>($H$40*($E$40*$G$40-$F$40*$F$40)-$C$40*($I$40*$G$40-$F$40*$J$40)+$D$40*($I$40*$F$40-$E$40*$J$40))/$B$42</f>
        <v/>
      </c>
      <c r="C43">
        <f>($B$40*($I$40*$G$40-$F$40*$J$40)-$H$40*($C$40*$G$40-$F$40*$D$40)+$D$40*($C$40*$J$40-$I$40*$D$40))/$B$42</f>
        <v/>
      </c>
      <c r="D43">
        <f>($B$40*($E$40*$J$40-$I$40*$F$40)-$C$40*($C$40*$J$40-$I$40*$D$40)+$H$40*($C$40*$F$40-$E$40*$D$40))/$B$42</f>
        <v/>
      </c>
      <c r="AR43">
        <f>$B$3*INDEX(INDEX(Tables!$B$5:$G$85,0,('Custom lights'!$B$5="CIE 1964 10deg")*3+1),39)*INDEX('Custom lights'!$B$8:$B$88,39)</f>
        <v/>
      </c>
      <c r="AS43">
        <f>$B$3*INDEX(INDEX(Tables!$B$5:$G$85,0,('Custom lights'!$B$5="CIE 1964 10deg")*3+2),39)*INDEX('Custom lights'!$B$8:$B$88,39)</f>
        <v/>
      </c>
      <c r="AT43">
        <f>$B$3*INDEX(INDEX(Tables!$B$5:$G$85,0,('Custom lights'!$B$5="CIE 1964 10deg")*3+3),39)*INDEX('Custom lights'!$B$8:$B$88,39)</f>
        <v/>
      </c>
    </row>
    <row r="44">
      <c r="AR44">
        <f>$B$3*INDEX(INDEX(Tables!$B$5:$G$85,0,('Custom lights'!$B$5="CIE 1964 10deg")*3+1),40)*INDEX('Custom lights'!$B$8:$B$88,40)</f>
        <v/>
      </c>
      <c r="AS44">
        <f>$B$3*INDEX(INDEX(Tables!$B$5:$G$85,0,('Custom lights'!$B$5="CIE 1964 10deg")*3+2),40)*INDEX('Custom lights'!$B$8:$B$88,40)</f>
        <v/>
      </c>
      <c r="AT44">
        <f>$B$3*INDEX(INDEX(Tables!$B$5:$G$85,0,('Custom lights'!$B$5="CIE 1964 10deg")*3+3),40)*INDEX('Custom lights'!$B$8:$B$88,40)</f>
        <v/>
      </c>
    </row>
    <row r="45">
      <c r="A45" t="inlineStr">
        <is>
          <t>M2 (leveled)</t>
        </is>
      </c>
      <c r="B45">
        <f>$B$31-$B$43*$B$32-$C$43*$B$33</f>
        <v/>
      </c>
      <c r="C45">
        <f>$C$31-$B$43*$C$32-$C$43*$C$33</f>
        <v/>
      </c>
      <c r="D45">
        <f>$D$31-$B$43*$D$32-$C$43*$D$33</f>
        <v/>
      </c>
      <c r="AR45">
        <f>$B$3*INDEX(INDEX(Tables!$B$5:$G$85,0,('Custom lights'!$B$5="CIE 1964 10deg")*3+1),41)*INDEX('Custom lights'!$B$8:$B$88,41)</f>
        <v/>
      </c>
      <c r="AS45">
        <f>$B$3*INDEX(INDEX(Tables!$B$5:$G$85,0,('Custom lights'!$B$5="CIE 1964 10deg")*3+2),41)*INDEX('Custom lights'!$B$8:$B$88,41)</f>
        <v/>
      </c>
      <c r="AT45">
        <f>$B$3*INDEX(INDEX(Tables!$B$5:$G$85,0,('Custom lights'!$B$5="CIE 1964 10deg")*3+3),41)*INDEX('Custom lights'!$B$8:$B$88,41)</f>
        <v/>
      </c>
    </row>
    <row r="46">
      <c r="B46">
        <f>$B$32</f>
        <v/>
      </c>
      <c r="C46">
        <f>$C$32</f>
        <v/>
      </c>
      <c r="D46">
        <f>$D$32</f>
        <v/>
      </c>
      <c r="AR46">
        <f>$B$3*INDEX(INDEX(Tables!$B$5:$G$85,0,('Custom lights'!$B$5="CIE 1964 10deg")*3+1),42)*INDEX('Custom lights'!$B$8:$B$88,42)</f>
        <v/>
      </c>
      <c r="AS46">
        <f>$B$3*INDEX(INDEX(Tables!$B$5:$G$85,0,('Custom lights'!$B$5="CIE 1964 10deg")*3+2),42)*INDEX('Custom lights'!$B$8:$B$88,42)</f>
        <v/>
      </c>
      <c r="AT46">
        <f>$B$3*INDEX(INDEX(Tables!$B$5:$G$85,0,('Custom lights'!$B$5="CIE 1964 10deg")*3+3),42)*INDEX('Custom lights'!$B$8:$B$88,42)</f>
        <v/>
      </c>
    </row>
    <row r="47">
      <c r="B47">
        <f>$B$33</f>
        <v/>
      </c>
      <c r="C47">
        <f>$C$33</f>
        <v/>
      </c>
      <c r="D47">
        <f>$D$33</f>
        <v/>
      </c>
      <c r="AR47">
        <f>$B$3*INDEX(INDEX(Tables!$B$5:$G$85,0,('Custom lights'!$B$5="CIE 1964 10deg")*3+1),43)*INDEX('Custom lights'!$B$8:$B$88,43)</f>
        <v/>
      </c>
      <c r="AS47">
        <f>$B$3*INDEX(INDEX(Tables!$B$5:$G$85,0,('Custom lights'!$B$5="CIE 1964 10deg")*3+2),43)*INDEX('Custom lights'!$B$8:$B$88,43)</f>
        <v/>
      </c>
      <c r="AT47">
        <f>$B$3*INDEX(INDEX(Tables!$B$5:$G$85,0,('Custom lights'!$B$5="CIE 1964 10deg")*3+3),43)*INDEX('Custom lights'!$B$8:$B$88,43)</f>
        <v/>
      </c>
    </row>
    <row r="48">
      <c r="AR48">
        <f>$B$3*INDEX(INDEX(Tables!$B$5:$G$85,0,('Custom lights'!$B$5="CIE 1964 10deg")*3+1),44)*INDEX('Custom lights'!$B$8:$B$88,44)</f>
        <v/>
      </c>
      <c r="AS48">
        <f>$B$3*INDEX(INDEX(Tables!$B$5:$G$85,0,('Custom lights'!$B$5="CIE 1964 10deg")*3+2),44)*INDEX('Custom lights'!$B$8:$B$88,44)</f>
        <v/>
      </c>
      <c r="AT48">
        <f>$B$3*INDEX(INDEX(Tables!$B$5:$G$85,0,('Custom lights'!$B$5="CIE 1964 10deg")*3+3),44)*INDEX('Custom lights'!$B$8:$B$88,44)</f>
        <v/>
      </c>
    </row>
    <row r="49">
      <c r="A49" t="inlineStr">
        <is>
          <t>Step 4. q = rows 2-3 of M2 times base XYZ (rows 49-50)</t>
        </is>
      </c>
      <c r="C49">
        <f>$B$46*C9+$C$46*C10+$D$46*C11</f>
        <v/>
      </c>
      <c r="D49">
        <f>$B$46*D9+$C$46*D10+$D$46*D11</f>
        <v/>
      </c>
      <c r="E49">
        <f>$B$46*E9+$C$46*E10+$D$46*E11</f>
        <v/>
      </c>
      <c r="F49">
        <f>$B$46*F9+$C$46*F10+$D$46*F11</f>
        <v/>
      </c>
      <c r="G49">
        <f>$B$46*G9+$C$46*G10+$D$46*G11</f>
        <v/>
      </c>
      <c r="H49">
        <f>$B$46*H9+$C$46*H10+$D$46*H11</f>
        <v/>
      </c>
      <c r="I49">
        <f>$B$46*I9+$C$46*I10+$D$46*I11</f>
        <v/>
      </c>
      <c r="J49">
        <f>$B$46*J9+$C$46*J10+$D$46*J11</f>
        <v/>
      </c>
      <c r="K49">
        <f>$B$46*K9+$C$46*K10+$D$46*K11</f>
        <v/>
      </c>
      <c r="L49">
        <f>$B$46*L9+$C$46*L10+$D$46*L11</f>
        <v/>
      </c>
      <c r="M49">
        <f>$B$46*M9+$C$46*M10+$D$46*M11</f>
        <v/>
      </c>
      <c r="N49">
        <f>$B$46*N9+$C$46*N10+$D$46*N11</f>
        <v/>
      </c>
      <c r="O49">
        <f>$B$46*O9+$C$46*O10+$D$46*O11</f>
        <v/>
      </c>
      <c r="P49">
        <f>$B$46*P9+$C$46*P10+$D$46*P11</f>
        <v/>
      </c>
      <c r="Q49">
        <f>$B$46*Q9+$C$46*Q10+$D$46*Q11</f>
        <v/>
      </c>
      <c r="R49">
        <f>$B$46*R9+$C$46*R10+$D$46*R11</f>
        <v/>
      </c>
      <c r="S49">
        <f>$B$46*S9+$C$46*S10+$D$46*S11</f>
        <v/>
      </c>
      <c r="T49">
        <f>$B$46*T9+$C$46*T10+$D$46*T11</f>
        <v/>
      </c>
      <c r="U49">
        <f>$B$46*U9+$C$46*U10+$D$46*U11</f>
        <v/>
      </c>
      <c r="V49">
        <f>$B$46*V9+$C$46*V10+$D$46*V11</f>
        <v/>
      </c>
      <c r="W49">
        <f>$B$46*W9+$C$46*W10+$D$46*W11</f>
        <v/>
      </c>
      <c r="X49">
        <f>$B$46*X9+$C$46*X10+$D$46*X11</f>
        <v/>
      </c>
      <c r="Y49">
        <f>$B$46*Y9+$C$46*Y10+$D$46*Y11</f>
        <v/>
      </c>
      <c r="Z49">
        <f>$B$46*Z9+$C$46*Z10+$D$46*Z11</f>
        <v/>
      </c>
      <c r="AA49">
        <f>$B$46*AA9+$C$46*AA10+$D$46*AA11</f>
        <v/>
      </c>
      <c r="AB49">
        <f>$B$46*AB9+$C$46*AB10+$D$46*AB11</f>
        <v/>
      </c>
      <c r="AC49">
        <f>$B$46*AC9+$C$46*AC10+$D$46*AC11</f>
        <v/>
      </c>
      <c r="AD49">
        <f>$B$46*AD9+$C$46*AD10+$D$46*AD11</f>
        <v/>
      </c>
      <c r="AE49">
        <f>$B$46*AE9+$C$46*AE10+$D$46*AE11</f>
        <v/>
      </c>
      <c r="AF49">
        <f>$B$46*AF9+$C$46*AF10+$D$46*AF11</f>
        <v/>
      </c>
      <c r="AG49">
        <f>$B$46*AG9+$C$46*AG10+$D$46*AG11</f>
        <v/>
      </c>
      <c r="AH49">
        <f>$B$46*AH9+$C$46*AH10+$D$46*AH11</f>
        <v/>
      </c>
      <c r="AI49">
        <f>$B$46*AI9+$C$46*AI10+$D$46*AI11</f>
        <v/>
      </c>
      <c r="AJ49">
        <f>$B$46*AJ9+$C$46*AJ10+$D$46*AJ11</f>
        <v/>
      </c>
      <c r="AK49">
        <f>$B$46*AK9+$C$46*AK10+$D$46*AK11</f>
        <v/>
      </c>
      <c r="AL49">
        <f>$B$46*AL9+$C$46*AL10+$D$46*AL11</f>
        <v/>
      </c>
      <c r="AM49">
        <f>$B$46*AM9+$C$46*AM10+$D$46*AM11</f>
        <v/>
      </c>
      <c r="AN49">
        <f>$B$46*AN9+$C$46*AN10+$D$46*AN11</f>
        <v/>
      </c>
      <c r="AO49">
        <f>$B$46*AO9+$C$46*AO10+$D$46*AO11</f>
        <v/>
      </c>
      <c r="AP49">
        <f>$B$46*AP9+$C$46*AP10+$D$46*AP11</f>
        <v/>
      </c>
      <c r="AR49">
        <f>$B$3*INDEX(INDEX(Tables!$B$5:$G$85,0,('Custom lights'!$B$5="CIE 1964 10deg")*3+1),45)*INDEX('Custom lights'!$B$8:$B$88,45)</f>
        <v/>
      </c>
      <c r="AS49">
        <f>$B$3*INDEX(INDEX(Tables!$B$5:$G$85,0,('Custom lights'!$B$5="CIE 1964 10deg")*3+2),45)*INDEX('Custom lights'!$B$8:$B$88,45)</f>
        <v/>
      </c>
      <c r="AT49">
        <f>$B$3*INDEX(INDEX(Tables!$B$5:$G$85,0,('Custom lights'!$B$5="CIE 1964 10deg")*3+3),45)*INDEX('Custom lights'!$B$8:$B$88,45)</f>
        <v/>
      </c>
    </row>
    <row r="50">
      <c r="C50">
        <f>$B$47*C9+$C$47*C10+$D$47*C11</f>
        <v/>
      </c>
      <c r="D50">
        <f>$B$47*D9+$C$47*D10+$D$47*D11</f>
        <v/>
      </c>
      <c r="E50">
        <f>$B$47*E9+$C$47*E10+$D$47*E11</f>
        <v/>
      </c>
      <c r="F50">
        <f>$B$47*F9+$C$47*F10+$D$47*F11</f>
        <v/>
      </c>
      <c r="G50">
        <f>$B$47*G9+$C$47*G10+$D$47*G11</f>
        <v/>
      </c>
      <c r="H50">
        <f>$B$47*H9+$C$47*H10+$D$47*H11</f>
        <v/>
      </c>
      <c r="I50">
        <f>$B$47*I9+$C$47*I10+$D$47*I11</f>
        <v/>
      </c>
      <c r="J50">
        <f>$B$47*J9+$C$47*J10+$D$47*J11</f>
        <v/>
      </c>
      <c r="K50">
        <f>$B$47*K9+$C$47*K10+$D$47*K11</f>
        <v/>
      </c>
      <c r="L50">
        <f>$B$47*L9+$C$47*L10+$D$47*L11</f>
        <v/>
      </c>
      <c r="M50">
        <f>$B$47*M9+$C$47*M10+$D$47*M11</f>
        <v/>
      </c>
      <c r="N50">
        <f>$B$47*N9+$C$47*N10+$D$47*N11</f>
        <v/>
      </c>
      <c r="O50">
        <f>$B$47*O9+$C$47*O10+$D$47*O11</f>
        <v/>
      </c>
      <c r="P50">
        <f>$B$47*P9+$C$47*P10+$D$47*P11</f>
        <v/>
      </c>
      <c r="Q50">
        <f>$B$47*Q9+$C$47*Q10+$D$47*Q11</f>
        <v/>
      </c>
      <c r="R50">
        <f>$B$47*R9+$C$47*R10+$D$47*R11</f>
        <v/>
      </c>
      <c r="S50">
        <f>$B$47*S9+$C$47*S10+$D$47*S11</f>
        <v/>
      </c>
      <c r="T50">
        <f>$B$47*T9+$C$47*T10+$D$47*T11</f>
        <v/>
      </c>
      <c r="U50">
        <f>$B$47*U9+$C$47*U10+$D$47*U11</f>
        <v/>
      </c>
      <c r="V50">
        <f>$B$47*V9+$C$47*V10+$D$47*V11</f>
        <v/>
      </c>
      <c r="W50">
        <f>$B$47*W9+$C$47*W10+$D$47*W11</f>
        <v/>
      </c>
      <c r="X50">
        <f>$B$47*X9+$C$47*X10+$D$47*X11</f>
        <v/>
      </c>
      <c r="Y50">
        <f>$B$47*Y9+$C$47*Y10+$D$47*Y11</f>
        <v/>
      </c>
      <c r="Z50">
        <f>$B$47*Z9+$C$47*Z10+$D$47*Z11</f>
        <v/>
      </c>
      <c r="AA50">
        <f>$B$47*AA9+$C$47*AA10+$D$47*AA11</f>
        <v/>
      </c>
      <c r="AB50">
        <f>$B$47*AB9+$C$47*AB10+$D$47*AB11</f>
        <v/>
      </c>
      <c r="AC50">
        <f>$B$47*AC9+$C$47*AC10+$D$47*AC11</f>
        <v/>
      </c>
      <c r="AD50">
        <f>$B$47*AD9+$C$47*AD10+$D$47*AD11</f>
        <v/>
      </c>
      <c r="AE50">
        <f>$B$47*AE9+$C$47*AE10+$D$47*AE11</f>
        <v/>
      </c>
      <c r="AF50">
        <f>$B$47*AF9+$C$47*AF10+$D$47*AF11</f>
        <v/>
      </c>
      <c r="AG50">
        <f>$B$47*AG9+$C$47*AG10+$D$47*AG11</f>
        <v/>
      </c>
      <c r="AH50">
        <f>$B$47*AH9+$C$47*AH10+$D$47*AH11</f>
        <v/>
      </c>
      <c r="AI50">
        <f>$B$47*AI9+$C$47*AI10+$D$47*AI11</f>
        <v/>
      </c>
      <c r="AJ50">
        <f>$B$47*AJ9+$C$47*AJ10+$D$47*AJ11</f>
        <v/>
      </c>
      <c r="AK50">
        <f>$B$47*AK9+$C$47*AK10+$D$47*AK11</f>
        <v/>
      </c>
      <c r="AL50">
        <f>$B$47*AL9+$C$47*AL10+$D$47*AL11</f>
        <v/>
      </c>
      <c r="AM50">
        <f>$B$47*AM9+$C$47*AM10+$D$47*AM11</f>
        <v/>
      </c>
      <c r="AN50">
        <f>$B$47*AN9+$C$47*AN10+$D$47*AN11</f>
        <v/>
      </c>
      <c r="AO50">
        <f>$B$47*AO9+$C$47*AO10+$D$47*AO11</f>
        <v/>
      </c>
      <c r="AP50">
        <f>$B$47*AP9+$C$47*AP10+$D$47*AP11</f>
        <v/>
      </c>
      <c r="AR50">
        <f>$B$3*INDEX(INDEX(Tables!$B$5:$G$85,0,('Custom lights'!$B$5="CIE 1964 10deg")*3+1),46)*INDEX('Custom lights'!$B$8:$B$88,46)</f>
        <v/>
      </c>
      <c r="AS50">
        <f>$B$3*INDEX(INDEX(Tables!$B$5:$G$85,0,('Custom lights'!$B$5="CIE 1964 10deg")*3+2),46)*INDEX('Custom lights'!$B$8:$B$88,46)</f>
        <v/>
      </c>
      <c r="AT50">
        <f>$B$3*INDEX(INDEX(Tables!$B$5:$G$85,0,('Custom lights'!$B$5="CIE 1964 10deg")*3+3),46)*INDEX('Custom lights'!$B$8:$B$88,46)</f>
        <v/>
      </c>
    </row>
    <row r="51">
      <c r="AR51">
        <f>$B$3*INDEX(INDEX(Tables!$B$5:$G$85,0,('Custom lights'!$B$5="CIE 1964 10deg")*3+1),47)*INDEX('Custom lights'!$B$8:$B$88,47)</f>
        <v/>
      </c>
      <c r="AS51">
        <f>$B$3*INDEX(INDEX(Tables!$B$5:$G$85,0,('Custom lights'!$B$5="CIE 1964 10deg")*3+2),47)*INDEX('Custom lights'!$B$8:$B$88,47)</f>
        <v/>
      </c>
      <c r="AT51">
        <f>$B$3*INDEX(INDEX(Tables!$B$5:$G$85,0,('Custom lights'!$B$5="CIE 1964 10deg")*3+3),47)*INDEX('Custom lights'!$B$8:$B$88,47)</f>
        <v/>
      </c>
    </row>
    <row r="52">
      <c r="B52" t="inlineStr">
        <is>
          <t>S11</t>
        </is>
      </c>
      <c r="C52" t="inlineStr">
        <is>
          <t>S12</t>
        </is>
      </c>
      <c r="D52" t="inlineStr">
        <is>
          <t>S22</t>
        </is>
      </c>
      <c r="E52" t="inlineStr">
        <is>
          <t>Sp1</t>
        </is>
      </c>
      <c r="F52" t="inlineStr">
        <is>
          <t>Sp2</t>
        </is>
      </c>
      <c r="G52" t="inlineStr">
        <is>
          <t>St1</t>
        </is>
      </c>
      <c r="H52" t="inlineStr">
        <is>
          <t>St2</t>
        </is>
      </c>
      <c r="AR52">
        <f>$B$3*INDEX(INDEX(Tables!$B$5:$G$85,0,('Custom lights'!$B$5="CIE 1964 10deg")*3+1),48)*INDEX('Custom lights'!$B$8:$B$88,48)</f>
        <v/>
      </c>
      <c r="AS52">
        <f>$B$3*INDEX(INDEX(Tables!$B$5:$G$85,0,('Custom lights'!$B$5="CIE 1964 10deg")*3+2),48)*INDEX('Custom lights'!$B$8:$B$88,48)</f>
        <v/>
      </c>
      <c r="AT52">
        <f>$B$3*INDEX(INDEX(Tables!$B$5:$G$85,0,('Custom lights'!$B$5="CIE 1964 10deg")*3+3),48)*INDEX('Custom lights'!$B$8:$B$88,48)</f>
        <v/>
      </c>
    </row>
    <row r="53">
      <c r="B53">
        <f>SUMPRODUCT($C$49:$AP$49,$C$49:$AP$49)</f>
        <v/>
      </c>
      <c r="C53">
        <f>SUMPRODUCT($C$49:$AP$49,$C$50:$AP$50)</f>
        <v/>
      </c>
      <c r="D53">
        <f>SUMPRODUCT($C$50:$AP$50,$C$50:$AP$50)</f>
        <v/>
      </c>
      <c r="E53">
        <f>SUMPRODUCT(Base!$C$87:$AP$87,$C$49:$AP$49)</f>
        <v/>
      </c>
      <c r="F53">
        <f>SUMPRODUCT(Base!$C$87:$AP$87,$C$50:$AP$50)</f>
        <v/>
      </c>
      <c r="G53">
        <f>SUMPRODUCT(Base!$C$88:$AP$88,$C$49:$AP$49)</f>
        <v/>
      </c>
      <c r="H53">
        <f>SUMPRODUCT(Base!$C$88:$AP$88,$C$50:$AP$50)</f>
        <v/>
      </c>
      <c r="AR53">
        <f>$B$3*INDEX(INDEX(Tables!$B$5:$G$85,0,('Custom lights'!$B$5="CIE 1964 10deg")*3+1),49)*INDEX('Custom lights'!$B$8:$B$88,49)</f>
        <v/>
      </c>
      <c r="AS53">
        <f>$B$3*INDEX(INDEX(Tables!$B$5:$G$85,0,('Custom lights'!$B$5="CIE 1964 10deg")*3+2),49)*INDEX('Custom lights'!$B$8:$B$88,49)</f>
        <v/>
      </c>
      <c r="AT53">
        <f>$B$3*INDEX(INDEX(Tables!$B$5:$G$85,0,('Custom lights'!$B$5="CIE 1964 10deg")*3+3),49)*INDEX('Custom lights'!$B$8:$B$88,49)</f>
        <v/>
      </c>
    </row>
    <row r="54">
      <c r="AR54">
        <f>$B$3*INDEX(INDEX(Tables!$B$5:$G$85,0,('Custom lights'!$B$5="CIE 1964 10deg")*3+1),50)*INDEX('Custom lights'!$B$8:$B$88,50)</f>
        <v/>
      </c>
      <c r="AS54">
        <f>$B$3*INDEX(INDEX(Tables!$B$5:$G$85,0,('Custom lights'!$B$5="CIE 1964 10deg")*3+2),50)*INDEX('Custom lights'!$B$8:$B$88,50)</f>
        <v/>
      </c>
      <c r="AT54">
        <f>$B$3*INDEX(INDEX(Tables!$B$5:$G$85,0,('Custom lights'!$B$5="CIE 1964 10deg")*3+3),50)*INDEX('Custom lights'!$B$8:$B$88,50)</f>
        <v/>
      </c>
    </row>
    <row r="55">
      <c r="A55" t="inlineStr">
        <is>
          <t>det</t>
        </is>
      </c>
      <c r="B55">
        <f>$B$53*$D$53-$C$53^2</f>
        <v/>
      </c>
      <c r="AR55">
        <f>$B$3*INDEX(INDEX(Tables!$B$5:$G$85,0,('Custom lights'!$B$5="CIE 1964 10deg")*3+1),51)*INDEX('Custom lights'!$B$8:$B$88,51)</f>
        <v/>
      </c>
      <c r="AS55">
        <f>$B$3*INDEX(INDEX(Tables!$B$5:$G$85,0,('Custom lights'!$B$5="CIE 1964 10deg")*3+2),51)*INDEX('Custom lights'!$B$8:$B$88,51)</f>
        <v/>
      </c>
      <c r="AT55">
        <f>$B$3*INDEX(INDEX(Tables!$B$5:$G$85,0,('Custom lights'!$B$5="CIE 1964 10deg")*3+3),51)*INDEX('Custom lights'!$B$8:$B$88,51)</f>
        <v/>
      </c>
    </row>
    <row r="56">
      <c r="A56" t="inlineStr">
        <is>
          <t>F (2 x 2)</t>
        </is>
      </c>
      <c r="B56">
        <f>($E$53*$D$53-$F$53*$C$53)/$B$55</f>
        <v/>
      </c>
      <c r="C56">
        <f>(-$E$53*$C$53+$F$53*$B$53)/$B$55</f>
        <v/>
      </c>
      <c r="AR56">
        <f>$B$3*INDEX(INDEX(Tables!$B$5:$G$85,0,('Custom lights'!$B$5="CIE 1964 10deg")*3+1),52)*INDEX('Custom lights'!$B$8:$B$88,52)</f>
        <v/>
      </c>
      <c r="AS56">
        <f>$B$3*INDEX(INDEX(Tables!$B$5:$G$85,0,('Custom lights'!$B$5="CIE 1964 10deg")*3+2),52)*INDEX('Custom lights'!$B$8:$B$88,52)</f>
        <v/>
      </c>
      <c r="AT56">
        <f>$B$3*INDEX(INDEX(Tables!$B$5:$G$85,0,('Custom lights'!$B$5="CIE 1964 10deg")*3+3),52)*INDEX('Custom lights'!$B$8:$B$88,52)</f>
        <v/>
      </c>
    </row>
    <row r="57">
      <c r="B57">
        <f>($G$53*$D$53-$H$53*$C$53)/$B$55</f>
        <v/>
      </c>
      <c r="C57">
        <f>(-$G$53*$C$53+$H$53*$B$53)/$B$55</f>
        <v/>
      </c>
      <c r="AR57">
        <f>$B$3*INDEX(INDEX(Tables!$B$5:$G$85,0,('Custom lights'!$B$5="CIE 1964 10deg")*3+1),53)*INDEX('Custom lights'!$B$8:$B$88,53)</f>
        <v/>
      </c>
      <c r="AS57">
        <f>$B$3*INDEX(INDEX(Tables!$B$5:$G$85,0,('Custom lights'!$B$5="CIE 1964 10deg")*3+2),53)*INDEX('Custom lights'!$B$8:$B$88,53)</f>
        <v/>
      </c>
      <c r="AT57">
        <f>$B$3*INDEX(INDEX(Tables!$B$5:$G$85,0,('Custom lights'!$B$5="CIE 1964 10deg")*3+3),53)*INDEX('Custom lights'!$B$8:$B$88,53)</f>
        <v/>
      </c>
    </row>
    <row r="58">
      <c r="AR58">
        <f>$B$3*INDEX(INDEX(Tables!$B$5:$G$85,0,('Custom lights'!$B$5="CIE 1964 10deg")*3+1),54)*INDEX('Custom lights'!$B$8:$B$88,54)</f>
        <v/>
      </c>
      <c r="AS58">
        <f>$B$3*INDEX(INDEX(Tables!$B$5:$G$85,0,('Custom lights'!$B$5="CIE 1964 10deg")*3+2),54)*INDEX('Custom lights'!$B$8:$B$88,54)</f>
        <v/>
      </c>
      <c r="AT58">
        <f>$B$3*INDEX(INDEX(Tables!$B$5:$G$85,0,('Custom lights'!$B$5="CIE 1964 10deg")*3+3),54)*INDEX('Custom lights'!$B$8:$B$88,54)</f>
        <v/>
      </c>
    </row>
    <row r="59">
      <c r="A59" s="2" t="inlineStr">
        <is>
          <t>Result: A, XYZ to Wpt</t>
        </is>
      </c>
      <c r="B59">
        <f>$B$45</f>
        <v/>
      </c>
      <c r="C59">
        <f>$C$45</f>
        <v/>
      </c>
      <c r="D59">
        <f>$D$45</f>
        <v/>
      </c>
      <c r="F59" t="inlineStr">
        <is>
          <t>det A</t>
        </is>
      </c>
      <c r="G59">
        <f>($B$59*($C$60*$D$61-$D$60*$C$61)-$C$59*($B$60*$D$61-$D$60*$B$61)+$D$59*($B$60*$C$61-$C$60*$B$61))</f>
        <v/>
      </c>
      <c r="AR59">
        <f>$B$3*INDEX(INDEX(Tables!$B$5:$G$85,0,('Custom lights'!$B$5="CIE 1964 10deg")*3+1),55)*INDEX('Custom lights'!$B$8:$B$88,55)</f>
        <v/>
      </c>
      <c r="AS59">
        <f>$B$3*INDEX(INDEX(Tables!$B$5:$G$85,0,('Custom lights'!$B$5="CIE 1964 10deg")*3+2),55)*INDEX('Custom lights'!$B$8:$B$88,55)</f>
        <v/>
      </c>
      <c r="AT59">
        <f>$B$3*INDEX(INDEX(Tables!$B$5:$G$85,0,('Custom lights'!$B$5="CIE 1964 10deg")*3+3),55)*INDEX('Custom lights'!$B$8:$B$88,55)</f>
        <v/>
      </c>
    </row>
    <row r="60">
      <c r="B60">
        <f>$B$56*$B$46+$C$56*$B$47</f>
        <v/>
      </c>
      <c r="C60">
        <f>$B$56*$C$46+$C$56*$C$47</f>
        <v/>
      </c>
      <c r="D60">
        <f>$B$56*$D$46+$C$56*$D$47</f>
        <v/>
      </c>
      <c r="AR60">
        <f>$B$3*INDEX(INDEX(Tables!$B$5:$G$85,0,('Custom lights'!$B$5="CIE 1964 10deg")*3+1),56)*INDEX('Custom lights'!$B$8:$B$88,56)</f>
        <v/>
      </c>
      <c r="AS60">
        <f>$B$3*INDEX(INDEX(Tables!$B$5:$G$85,0,('Custom lights'!$B$5="CIE 1964 10deg")*3+2),56)*INDEX('Custom lights'!$B$8:$B$88,56)</f>
        <v/>
      </c>
      <c r="AT60">
        <f>$B$3*INDEX(INDEX(Tables!$B$5:$G$85,0,('Custom lights'!$B$5="CIE 1964 10deg")*3+3),56)*INDEX('Custom lights'!$B$8:$B$88,56)</f>
        <v/>
      </c>
    </row>
    <row r="61">
      <c r="B61">
        <f>$B$57*$B$46+$C$57*$B$47</f>
        <v/>
      </c>
      <c r="C61">
        <f>$B$57*$C$46+$C$57*$C$47</f>
        <v/>
      </c>
      <c r="D61">
        <f>$B$57*$D$46+$C$57*$D$47</f>
        <v/>
      </c>
      <c r="AR61">
        <f>$B$3*INDEX(INDEX(Tables!$B$5:$G$85,0,('Custom lights'!$B$5="CIE 1964 10deg")*3+1),57)*INDEX('Custom lights'!$B$8:$B$88,57)</f>
        <v/>
      </c>
      <c r="AS61">
        <f>$B$3*INDEX(INDEX(Tables!$B$5:$G$85,0,('Custom lights'!$B$5="CIE 1964 10deg")*3+2),57)*INDEX('Custom lights'!$B$8:$B$88,57)</f>
        <v/>
      </c>
      <c r="AT61">
        <f>$B$3*INDEX(INDEX(Tables!$B$5:$G$85,0,('Custom lights'!$B$5="CIE 1964 10deg")*3+3),57)*INDEX('Custom lights'!$B$8:$B$88,57)</f>
        <v/>
      </c>
    </row>
    <row r="62">
      <c r="AR62">
        <f>$B$3*INDEX(INDEX(Tables!$B$5:$G$85,0,('Custom lights'!$B$5="CIE 1964 10deg")*3+1),58)*INDEX('Custom lights'!$B$8:$B$88,58)</f>
        <v/>
      </c>
      <c r="AS62">
        <f>$B$3*INDEX(INDEX(Tables!$B$5:$G$85,0,('Custom lights'!$B$5="CIE 1964 10deg")*3+2),58)*INDEX('Custom lights'!$B$8:$B$88,58)</f>
        <v/>
      </c>
      <c r="AT62">
        <f>$B$3*INDEX(INDEX(Tables!$B$5:$G$85,0,('Custom lights'!$B$5="CIE 1964 10deg")*3+3),58)*INDEX('Custom lights'!$B$8:$B$88,58)</f>
        <v/>
      </c>
    </row>
    <row r="63">
      <c r="A63" s="2" t="inlineStr">
        <is>
          <t>Inverse: Wpt to XYZ</t>
        </is>
      </c>
      <c r="B63">
        <f>($C$60*$D$61-$D$60*$C$61)/$G$59</f>
        <v/>
      </c>
      <c r="C63">
        <f>($C$61*$D$59-$D$61*$C$59)/$G$59</f>
        <v/>
      </c>
      <c r="D63">
        <f>($C$59*$D$60-$D$59*$C$60)/$G$59</f>
        <v/>
      </c>
      <c r="AR63">
        <f>$B$3*INDEX(INDEX(Tables!$B$5:$G$85,0,('Custom lights'!$B$5="CIE 1964 10deg")*3+1),59)*INDEX('Custom lights'!$B$8:$B$88,59)</f>
        <v/>
      </c>
      <c r="AS63">
        <f>$B$3*INDEX(INDEX(Tables!$B$5:$G$85,0,('Custom lights'!$B$5="CIE 1964 10deg")*3+2),59)*INDEX('Custom lights'!$B$8:$B$88,59)</f>
        <v/>
      </c>
      <c r="AT63">
        <f>$B$3*INDEX(INDEX(Tables!$B$5:$G$85,0,('Custom lights'!$B$5="CIE 1964 10deg")*3+3),59)*INDEX('Custom lights'!$B$8:$B$88,59)</f>
        <v/>
      </c>
    </row>
    <row r="64">
      <c r="B64">
        <f>($D$60*$B$61-$B$60*$D$61)/$G$59</f>
        <v/>
      </c>
      <c r="C64">
        <f>($D$61*$B$59-$B$61*$D$59)/$G$59</f>
        <v/>
      </c>
      <c r="D64">
        <f>($D$59*$B$60-$B$59*$D$60)/$G$59</f>
        <v/>
      </c>
      <c r="AR64">
        <f>$B$3*INDEX(INDEX(Tables!$B$5:$G$85,0,('Custom lights'!$B$5="CIE 1964 10deg")*3+1),60)*INDEX('Custom lights'!$B$8:$B$88,60)</f>
        <v/>
      </c>
      <c r="AS64">
        <f>$B$3*INDEX(INDEX(Tables!$B$5:$G$85,0,('Custom lights'!$B$5="CIE 1964 10deg")*3+2),60)*INDEX('Custom lights'!$B$8:$B$88,60)</f>
        <v/>
      </c>
      <c r="AT64">
        <f>$B$3*INDEX(INDEX(Tables!$B$5:$G$85,0,('Custom lights'!$B$5="CIE 1964 10deg")*3+3),60)*INDEX('Custom lights'!$B$8:$B$88,60)</f>
        <v/>
      </c>
    </row>
    <row r="65">
      <c r="B65">
        <f>($B$60*$C$61-$C$60*$B$61)/$G$59</f>
        <v/>
      </c>
      <c r="C65">
        <f>($B$61*$C$59-$C$61*$B$59)/$G$59</f>
        <v/>
      </c>
      <c r="D65">
        <f>($B$59*$C$60-$C$59*$B$60)/$G$59</f>
        <v/>
      </c>
      <c r="AR65">
        <f>$B$3*INDEX(INDEX(Tables!$B$5:$G$85,0,('Custom lights'!$B$5="CIE 1964 10deg")*3+1),61)*INDEX('Custom lights'!$B$8:$B$88,61)</f>
        <v/>
      </c>
      <c r="AS65">
        <f>$B$3*INDEX(INDEX(Tables!$B$5:$G$85,0,('Custom lights'!$B$5="CIE 1964 10deg")*3+2),61)*INDEX('Custom lights'!$B$8:$B$88,61)</f>
        <v/>
      </c>
      <c r="AT65">
        <f>$B$3*INDEX(INDEX(Tables!$B$5:$G$85,0,('Custom lights'!$B$5="CIE 1964 10deg")*3+3),61)*INDEX('Custom lights'!$B$8:$B$88,61)</f>
        <v/>
      </c>
    </row>
    <row r="66">
      <c r="AR66">
        <f>$B$3*INDEX(INDEX(Tables!$B$5:$G$85,0,('Custom lights'!$B$5="CIE 1964 10deg")*3+1),62)*INDEX('Custom lights'!$B$8:$B$88,62)</f>
        <v/>
      </c>
      <c r="AS66">
        <f>$B$3*INDEX(INDEX(Tables!$B$5:$G$85,0,('Custom lights'!$B$5="CIE 1964 10deg")*3+2),62)*INDEX('Custom lights'!$B$8:$B$88,62)</f>
        <v/>
      </c>
      <c r="AT66">
        <f>$B$3*INDEX(INDEX(Tables!$B$5:$G$85,0,('Custom lights'!$B$5="CIE 1964 10deg")*3+3),62)*INDEX('Custom lights'!$B$8:$B$88,62)</f>
        <v/>
      </c>
    </row>
    <row r="67">
      <c r="AR67">
        <f>$B$3*INDEX(INDEX(Tables!$B$5:$G$85,0,('Custom lights'!$B$5="CIE 1964 10deg")*3+1),63)*INDEX('Custom lights'!$B$8:$B$88,63)</f>
        <v/>
      </c>
      <c r="AS67">
        <f>$B$3*INDEX(INDEX(Tables!$B$5:$G$85,0,('Custom lights'!$B$5="CIE 1964 10deg")*3+2),63)*INDEX('Custom lights'!$B$8:$B$88,63)</f>
        <v/>
      </c>
      <c r="AT67">
        <f>$B$3*INDEX(INDEX(Tables!$B$5:$G$85,0,('Custom lights'!$B$5="CIE 1964 10deg")*3+3),63)*INDEX('Custom lights'!$B$8:$B$88,63)</f>
        <v/>
      </c>
    </row>
    <row r="68">
      <c r="AR68">
        <f>$B$3*INDEX(INDEX(Tables!$B$5:$G$85,0,('Custom lights'!$B$5="CIE 1964 10deg")*3+1),64)*INDEX('Custom lights'!$B$8:$B$88,64)</f>
        <v/>
      </c>
      <c r="AS68">
        <f>$B$3*INDEX(INDEX(Tables!$B$5:$G$85,0,('Custom lights'!$B$5="CIE 1964 10deg")*3+2),64)*INDEX('Custom lights'!$B$8:$B$88,64)</f>
        <v/>
      </c>
      <c r="AT68">
        <f>$B$3*INDEX(INDEX(Tables!$B$5:$G$85,0,('Custom lights'!$B$5="CIE 1964 10deg")*3+3),64)*INDEX('Custom lights'!$B$8:$B$88,64)</f>
        <v/>
      </c>
    </row>
    <row r="69">
      <c r="AR69">
        <f>$B$3*INDEX(INDEX(Tables!$B$5:$G$85,0,('Custom lights'!$B$5="CIE 1964 10deg")*3+1),65)*INDEX('Custom lights'!$B$8:$B$88,65)</f>
        <v/>
      </c>
      <c r="AS69">
        <f>$B$3*INDEX(INDEX(Tables!$B$5:$G$85,0,('Custom lights'!$B$5="CIE 1964 10deg")*3+2),65)*INDEX('Custom lights'!$B$8:$B$88,65)</f>
        <v/>
      </c>
      <c r="AT69">
        <f>$B$3*INDEX(INDEX(Tables!$B$5:$G$85,0,('Custom lights'!$B$5="CIE 1964 10deg")*3+3),65)*INDEX('Custom lights'!$B$8:$B$88,65)</f>
        <v/>
      </c>
    </row>
    <row r="70">
      <c r="AR70">
        <f>$B$3*INDEX(INDEX(Tables!$B$5:$G$85,0,('Custom lights'!$B$5="CIE 1964 10deg")*3+1),66)*INDEX('Custom lights'!$B$8:$B$88,66)</f>
        <v/>
      </c>
      <c r="AS70">
        <f>$B$3*INDEX(INDEX(Tables!$B$5:$G$85,0,('Custom lights'!$B$5="CIE 1964 10deg")*3+2),66)*INDEX('Custom lights'!$B$8:$B$88,66)</f>
        <v/>
      </c>
      <c r="AT70">
        <f>$B$3*INDEX(INDEX(Tables!$B$5:$G$85,0,('Custom lights'!$B$5="CIE 1964 10deg")*3+3),66)*INDEX('Custom lights'!$B$8:$B$88,66)</f>
        <v/>
      </c>
    </row>
    <row r="71">
      <c r="AR71">
        <f>$B$3*INDEX(INDEX(Tables!$B$5:$G$85,0,('Custom lights'!$B$5="CIE 1964 10deg")*3+1),67)*INDEX('Custom lights'!$B$8:$B$88,67)</f>
        <v/>
      </c>
      <c r="AS71">
        <f>$B$3*INDEX(INDEX(Tables!$B$5:$G$85,0,('Custom lights'!$B$5="CIE 1964 10deg")*3+2),67)*INDEX('Custom lights'!$B$8:$B$88,67)</f>
        <v/>
      </c>
      <c r="AT71">
        <f>$B$3*INDEX(INDEX(Tables!$B$5:$G$85,0,('Custom lights'!$B$5="CIE 1964 10deg")*3+3),67)*INDEX('Custom lights'!$B$8:$B$88,67)</f>
        <v/>
      </c>
    </row>
    <row r="72">
      <c r="AR72">
        <f>$B$3*INDEX(INDEX(Tables!$B$5:$G$85,0,('Custom lights'!$B$5="CIE 1964 10deg")*3+1),68)*INDEX('Custom lights'!$B$8:$B$88,68)</f>
        <v/>
      </c>
      <c r="AS72">
        <f>$B$3*INDEX(INDEX(Tables!$B$5:$G$85,0,('Custom lights'!$B$5="CIE 1964 10deg")*3+2),68)*INDEX('Custom lights'!$B$8:$B$88,68)</f>
        <v/>
      </c>
      <c r="AT72">
        <f>$B$3*INDEX(INDEX(Tables!$B$5:$G$85,0,('Custom lights'!$B$5="CIE 1964 10deg")*3+3),68)*INDEX('Custom lights'!$B$8:$B$88,68)</f>
        <v/>
      </c>
    </row>
    <row r="73">
      <c r="AR73">
        <f>$B$3*INDEX(INDEX(Tables!$B$5:$G$85,0,('Custom lights'!$B$5="CIE 1964 10deg")*3+1),69)*INDEX('Custom lights'!$B$8:$B$88,69)</f>
        <v/>
      </c>
      <c r="AS73">
        <f>$B$3*INDEX(INDEX(Tables!$B$5:$G$85,0,('Custom lights'!$B$5="CIE 1964 10deg")*3+2),69)*INDEX('Custom lights'!$B$8:$B$88,69)</f>
        <v/>
      </c>
      <c r="AT73">
        <f>$B$3*INDEX(INDEX(Tables!$B$5:$G$85,0,('Custom lights'!$B$5="CIE 1964 10deg")*3+3),69)*INDEX('Custom lights'!$B$8:$B$88,69)</f>
        <v/>
      </c>
    </row>
    <row r="74">
      <c r="AR74">
        <f>$B$3*INDEX(INDEX(Tables!$B$5:$G$85,0,('Custom lights'!$B$5="CIE 1964 10deg")*3+1),70)*INDEX('Custom lights'!$B$8:$B$88,70)</f>
        <v/>
      </c>
      <c r="AS74">
        <f>$B$3*INDEX(INDEX(Tables!$B$5:$G$85,0,('Custom lights'!$B$5="CIE 1964 10deg")*3+2),70)*INDEX('Custom lights'!$B$8:$B$88,70)</f>
        <v/>
      </c>
      <c r="AT74">
        <f>$B$3*INDEX(INDEX(Tables!$B$5:$G$85,0,('Custom lights'!$B$5="CIE 1964 10deg")*3+3),70)*INDEX('Custom lights'!$B$8:$B$88,70)</f>
        <v/>
      </c>
    </row>
    <row r="75">
      <c r="AR75">
        <f>$B$3*INDEX(INDEX(Tables!$B$5:$G$85,0,('Custom lights'!$B$5="CIE 1964 10deg")*3+1),71)*INDEX('Custom lights'!$B$8:$B$88,71)</f>
        <v/>
      </c>
      <c r="AS75">
        <f>$B$3*INDEX(INDEX(Tables!$B$5:$G$85,0,('Custom lights'!$B$5="CIE 1964 10deg")*3+2),71)*INDEX('Custom lights'!$B$8:$B$88,71)</f>
        <v/>
      </c>
      <c r="AT75">
        <f>$B$3*INDEX(INDEX(Tables!$B$5:$G$85,0,('Custom lights'!$B$5="CIE 1964 10deg")*3+3),71)*INDEX('Custom lights'!$B$8:$B$88,71)</f>
        <v/>
      </c>
    </row>
    <row r="76">
      <c r="AR76">
        <f>$B$3*INDEX(INDEX(Tables!$B$5:$G$85,0,('Custom lights'!$B$5="CIE 1964 10deg")*3+1),72)*INDEX('Custom lights'!$B$8:$B$88,72)</f>
        <v/>
      </c>
      <c r="AS76">
        <f>$B$3*INDEX(INDEX(Tables!$B$5:$G$85,0,('Custom lights'!$B$5="CIE 1964 10deg")*3+2),72)*INDEX('Custom lights'!$B$8:$B$88,72)</f>
        <v/>
      </c>
      <c r="AT76">
        <f>$B$3*INDEX(INDEX(Tables!$B$5:$G$85,0,('Custom lights'!$B$5="CIE 1964 10deg")*3+3),72)*INDEX('Custom lights'!$B$8:$B$88,72)</f>
        <v/>
      </c>
    </row>
    <row r="77">
      <c r="AR77">
        <f>$B$3*INDEX(INDEX(Tables!$B$5:$G$85,0,('Custom lights'!$B$5="CIE 1964 10deg")*3+1),73)*INDEX('Custom lights'!$B$8:$B$88,73)</f>
        <v/>
      </c>
      <c r="AS77">
        <f>$B$3*INDEX(INDEX(Tables!$B$5:$G$85,0,('Custom lights'!$B$5="CIE 1964 10deg")*3+2),73)*INDEX('Custom lights'!$B$8:$B$88,73)</f>
        <v/>
      </c>
      <c r="AT77">
        <f>$B$3*INDEX(INDEX(Tables!$B$5:$G$85,0,('Custom lights'!$B$5="CIE 1964 10deg")*3+3),73)*INDEX('Custom lights'!$B$8:$B$88,73)</f>
        <v/>
      </c>
    </row>
    <row r="78">
      <c r="AR78">
        <f>$B$3*INDEX(INDEX(Tables!$B$5:$G$85,0,('Custom lights'!$B$5="CIE 1964 10deg")*3+1),74)*INDEX('Custom lights'!$B$8:$B$88,74)</f>
        <v/>
      </c>
      <c r="AS78">
        <f>$B$3*INDEX(INDEX(Tables!$B$5:$G$85,0,('Custom lights'!$B$5="CIE 1964 10deg")*3+2),74)*INDEX('Custom lights'!$B$8:$B$88,74)</f>
        <v/>
      </c>
      <c r="AT78">
        <f>$B$3*INDEX(INDEX(Tables!$B$5:$G$85,0,('Custom lights'!$B$5="CIE 1964 10deg")*3+3),74)*INDEX('Custom lights'!$B$8:$B$88,74)</f>
        <v/>
      </c>
    </row>
    <row r="79">
      <c r="AR79">
        <f>$B$3*INDEX(INDEX(Tables!$B$5:$G$85,0,('Custom lights'!$B$5="CIE 1964 10deg")*3+1),75)*INDEX('Custom lights'!$B$8:$B$88,75)</f>
        <v/>
      </c>
      <c r="AS79">
        <f>$B$3*INDEX(INDEX(Tables!$B$5:$G$85,0,('Custom lights'!$B$5="CIE 1964 10deg")*3+2),75)*INDEX('Custom lights'!$B$8:$B$88,75)</f>
        <v/>
      </c>
      <c r="AT79">
        <f>$B$3*INDEX(INDEX(Tables!$B$5:$G$85,0,('Custom lights'!$B$5="CIE 1964 10deg")*3+3),75)*INDEX('Custom lights'!$B$8:$B$88,75)</f>
        <v/>
      </c>
    </row>
    <row r="80">
      <c r="AR80">
        <f>$B$3*INDEX(INDEX(Tables!$B$5:$G$85,0,('Custom lights'!$B$5="CIE 1964 10deg")*3+1),76)*INDEX('Custom lights'!$B$8:$B$88,76)</f>
        <v/>
      </c>
      <c r="AS80">
        <f>$B$3*INDEX(INDEX(Tables!$B$5:$G$85,0,('Custom lights'!$B$5="CIE 1964 10deg")*3+2),76)*INDEX('Custom lights'!$B$8:$B$88,76)</f>
        <v/>
      </c>
      <c r="AT80">
        <f>$B$3*INDEX(INDEX(Tables!$B$5:$G$85,0,('Custom lights'!$B$5="CIE 1964 10deg")*3+3),76)*INDEX('Custom lights'!$B$8:$B$88,76)</f>
        <v/>
      </c>
    </row>
    <row r="81">
      <c r="AR81">
        <f>$B$3*INDEX(INDEX(Tables!$B$5:$G$85,0,('Custom lights'!$B$5="CIE 1964 10deg")*3+1),77)*INDEX('Custom lights'!$B$8:$B$88,77)</f>
        <v/>
      </c>
      <c r="AS81">
        <f>$B$3*INDEX(INDEX(Tables!$B$5:$G$85,0,('Custom lights'!$B$5="CIE 1964 10deg")*3+2),77)*INDEX('Custom lights'!$B$8:$B$88,77)</f>
        <v/>
      </c>
      <c r="AT81">
        <f>$B$3*INDEX(INDEX(Tables!$B$5:$G$85,0,('Custom lights'!$B$5="CIE 1964 10deg")*3+3),77)*INDEX('Custom lights'!$B$8:$B$88,77)</f>
        <v/>
      </c>
    </row>
    <row r="82">
      <c r="AR82">
        <f>$B$3*INDEX(INDEX(Tables!$B$5:$G$85,0,('Custom lights'!$B$5="CIE 1964 10deg")*3+1),78)*INDEX('Custom lights'!$B$8:$B$88,78)</f>
        <v/>
      </c>
      <c r="AS82">
        <f>$B$3*INDEX(INDEX(Tables!$B$5:$G$85,0,('Custom lights'!$B$5="CIE 1964 10deg")*3+2),78)*INDEX('Custom lights'!$B$8:$B$88,78)</f>
        <v/>
      </c>
      <c r="AT82">
        <f>$B$3*INDEX(INDEX(Tables!$B$5:$G$85,0,('Custom lights'!$B$5="CIE 1964 10deg")*3+3),78)*INDEX('Custom lights'!$B$8:$B$88,78)</f>
        <v/>
      </c>
    </row>
    <row r="83">
      <c r="AR83">
        <f>$B$3*INDEX(INDEX(Tables!$B$5:$G$85,0,('Custom lights'!$B$5="CIE 1964 10deg")*3+1),79)*INDEX('Custom lights'!$B$8:$B$88,79)</f>
        <v/>
      </c>
      <c r="AS83">
        <f>$B$3*INDEX(INDEX(Tables!$B$5:$G$85,0,('Custom lights'!$B$5="CIE 1964 10deg")*3+2),79)*INDEX('Custom lights'!$B$8:$B$88,79)</f>
        <v/>
      </c>
      <c r="AT83">
        <f>$B$3*INDEX(INDEX(Tables!$B$5:$G$85,0,('Custom lights'!$B$5="CIE 1964 10deg")*3+3),79)*INDEX('Custom lights'!$B$8:$B$88,79)</f>
        <v/>
      </c>
    </row>
    <row r="84">
      <c r="AR84">
        <f>$B$3*INDEX(INDEX(Tables!$B$5:$G$85,0,('Custom lights'!$B$5="CIE 1964 10deg")*3+1),80)*INDEX('Custom lights'!$B$8:$B$88,80)</f>
        <v/>
      </c>
      <c r="AS84">
        <f>$B$3*INDEX(INDEX(Tables!$B$5:$G$85,0,('Custom lights'!$B$5="CIE 1964 10deg")*3+2),80)*INDEX('Custom lights'!$B$8:$B$88,80)</f>
        <v/>
      </c>
      <c r="AT84">
        <f>$B$3*INDEX(INDEX(Tables!$B$5:$G$85,0,('Custom lights'!$B$5="CIE 1964 10deg")*3+3),80)*INDEX('Custom lights'!$B$8:$B$88,80)</f>
        <v/>
      </c>
    </row>
    <row r="85">
      <c r="AR85">
        <f>$B$3*INDEX(INDEX(Tables!$B$5:$G$85,0,('Custom lights'!$B$5="CIE 1964 10deg")*3+1),81)*INDEX('Custom lights'!$B$8:$B$88,81)</f>
        <v/>
      </c>
      <c r="AS85">
        <f>$B$3*INDEX(INDEX(Tables!$B$5:$G$85,0,('Custom lights'!$B$5="CIE 1964 10deg")*3+2),81)*INDEX('Custom lights'!$B$8:$B$88,81)</f>
        <v/>
      </c>
      <c r="AT85">
        <f>$B$3*INDEX(INDEX(Tables!$B$5:$G$85,0,('Custom lights'!$B$5="CIE 1964 10deg")*3+3),81)*INDEX('Custom lights'!$B$8:$B$88,81)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8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Wpt normalization for custom light 2</t>
        </is>
      </c>
    </row>
    <row r="3">
      <c r="A3" t="inlineStr">
        <is>
          <t>k (white Y = 100)</t>
        </is>
      </c>
      <c r="B3">
        <f>100/SUMPRODUCT(INDEX(Tables!$B$5:$G$85,0,('Custom lights'!$C$5="CIE 1964 10deg")*3+2),'Custom lights'!$C$8:$C$88)</f>
        <v/>
      </c>
      <c r="AR3" t="inlineStr">
        <is>
          <t>k x observer x light, 5 nm</t>
        </is>
      </c>
      <c r="AV3" t="inlineStr">
        <is>
          <t>Weights for 10 nm reflectance (380-730 nm)</t>
        </is>
      </c>
    </row>
    <row r="5">
      <c r="AR5">
        <f>$B$3*INDEX(INDEX(Tables!$B$5:$G$85,0,('Custom lights'!$C$5="CIE 1964 10deg")*3+1),1)*INDEX('Custom lights'!$C$8:$C$88,1)</f>
        <v/>
      </c>
      <c r="AS5">
        <f>$B$3*INDEX(INDEX(Tables!$B$5:$G$85,0,('Custom lights'!$C$5="CIE 1964 10deg")*3+2),1)*INDEX('Custom lights'!$C$8:$C$88,1)</f>
        <v/>
      </c>
      <c r="AT5">
        <f>$B$3*INDEX(INDEX(Tables!$B$5:$G$85,0,('Custom lights'!$C$5="CIE 1964 10deg")*3+3),1)*INDEX('Custom lights'!$C$8:$C$88,1)</f>
        <v/>
      </c>
      <c r="AV5">
        <f>SUMPRODUCT(AR$5:AR$85,Interp!$B$5:$B$85)</f>
        <v/>
      </c>
      <c r="AW5">
        <f>SUMPRODUCT(AS$5:AS$85,Interp!$B$5:$B$85)</f>
        <v/>
      </c>
      <c r="AX5">
        <f>SUMPRODUCT(AT$5:AT$85,Interp!$B$5:$B$85)</f>
        <v/>
      </c>
    </row>
    <row r="6">
      <c r="A6" t="inlineStr">
        <is>
          <t>White XYZ</t>
        </is>
      </c>
      <c r="B6">
        <f>$B$3*SUMPRODUCT(INDEX(Tables!$B$5:$G$85,0,('Custom lights'!$C$5="CIE 1964 10deg")*3+1),'Custom lights'!$C$8:$C$88)</f>
        <v/>
      </c>
      <c r="C6">
        <f>$B$3*SUMPRODUCT(INDEX(Tables!$B$5:$G$85,0,('Custom lights'!$C$5="CIE 1964 10deg")*3+2),'Custom lights'!$C$8:$C$88)</f>
        <v/>
      </c>
      <c r="D6">
        <f>$B$3*SUMPRODUCT(INDEX(Tables!$B$5:$G$85,0,('Custom lights'!$C$5="CIE 1964 10deg")*3+3),'Custom lights'!$C$8:$C$88)</f>
        <v/>
      </c>
      <c r="AR6">
        <f>$B$3*INDEX(INDEX(Tables!$B$5:$G$85,0,('Custom lights'!$C$5="CIE 1964 10deg")*3+1),2)*INDEX('Custom lights'!$C$8:$C$88,2)</f>
        <v/>
      </c>
      <c r="AS6">
        <f>$B$3*INDEX(INDEX(Tables!$B$5:$G$85,0,('Custom lights'!$C$5="CIE 1964 10deg")*3+2),2)*INDEX('Custom lights'!$C$8:$C$88,2)</f>
        <v/>
      </c>
      <c r="AT6">
        <f>$B$3*INDEX(INDEX(Tables!$B$5:$G$85,0,('Custom lights'!$C$5="CIE 1964 10deg")*3+3),2)*INDEX('Custom lights'!$C$8:$C$88,2)</f>
        <v/>
      </c>
      <c r="AV6">
        <f>SUMPRODUCT(AR$5:AR$85,Interp!$C$5:$C$85)</f>
        <v/>
      </c>
      <c r="AW6">
        <f>SUMPRODUCT(AS$5:AS$85,Interp!$C$5:$C$85)</f>
        <v/>
      </c>
      <c r="AX6">
        <f>SUMPRODUCT(AT$5:AT$85,Interp!$C$5:$C$85)</f>
        <v/>
      </c>
    </row>
    <row r="7">
      <c r="AR7">
        <f>$B$3*INDEX(INDEX(Tables!$B$5:$G$85,0,('Custom lights'!$C$5="CIE 1964 10deg")*3+1),3)*INDEX('Custom lights'!$C$8:$C$88,3)</f>
        <v/>
      </c>
      <c r="AS7">
        <f>$B$3*INDEX(INDEX(Tables!$B$5:$G$85,0,('Custom lights'!$C$5="CIE 1964 10deg")*3+2),3)*INDEX('Custom lights'!$C$8:$C$88,3)</f>
        <v/>
      </c>
      <c r="AT7">
        <f>$B$3*INDEX(INDEX(Tables!$B$5:$G$85,0,('Custom lights'!$C$5="CIE 1964 10deg")*3+3),3)*INDEX('Custom lights'!$C$8:$C$88,3)</f>
        <v/>
      </c>
      <c r="AV7">
        <f>SUMPRODUCT(AR$5:AR$85,Interp!$D$5:$D$85)</f>
        <v/>
      </c>
      <c r="AW7">
        <f>SUMPRODUCT(AS$5:AS$85,Interp!$D$5:$D$85)</f>
        <v/>
      </c>
      <c r="AX7">
        <f>SUMPRODUCT(AT$5:AT$85,Interp!$D$5:$D$85)</f>
        <v/>
      </c>
    </row>
    <row r="8">
      <c r="A8" t="inlineStr">
        <is>
          <t>Base samples: XYZ (rows 9-11)</t>
        </is>
      </c>
      <c r="C8">
        <f>Base!C4</f>
        <v/>
      </c>
      <c r="D8">
        <f>Base!D4</f>
        <v/>
      </c>
      <c r="E8">
        <f>Base!E4</f>
        <v/>
      </c>
      <c r="F8">
        <f>Base!F4</f>
        <v/>
      </c>
      <c r="G8">
        <f>Base!G4</f>
        <v/>
      </c>
      <c r="H8">
        <f>Base!H4</f>
        <v/>
      </c>
      <c r="I8">
        <f>Base!I4</f>
        <v/>
      </c>
      <c r="J8">
        <f>Base!J4</f>
        <v/>
      </c>
      <c r="K8">
        <f>Base!K4</f>
        <v/>
      </c>
      <c r="L8">
        <f>Base!L4</f>
        <v/>
      </c>
      <c r="M8">
        <f>Base!M4</f>
        <v/>
      </c>
      <c r="N8">
        <f>Base!N4</f>
        <v/>
      </c>
      <c r="O8">
        <f>Base!O4</f>
        <v/>
      </c>
      <c r="P8">
        <f>Base!P4</f>
        <v/>
      </c>
      <c r="Q8">
        <f>Base!Q4</f>
        <v/>
      </c>
      <c r="R8">
        <f>Base!R4</f>
        <v/>
      </c>
      <c r="S8">
        <f>Base!S4</f>
        <v/>
      </c>
      <c r="T8">
        <f>Base!T4</f>
        <v/>
      </c>
      <c r="U8">
        <f>Base!U4</f>
        <v/>
      </c>
      <c r="V8">
        <f>Base!V4</f>
        <v/>
      </c>
      <c r="W8">
        <f>Base!W4</f>
        <v/>
      </c>
      <c r="X8">
        <f>Base!X4</f>
        <v/>
      </c>
      <c r="Y8">
        <f>Base!Y4</f>
        <v/>
      </c>
      <c r="Z8">
        <f>Base!Z4</f>
        <v/>
      </c>
      <c r="AA8">
        <f>Base!AA4</f>
        <v/>
      </c>
      <c r="AB8">
        <f>Base!AB4</f>
        <v/>
      </c>
      <c r="AC8">
        <f>Base!AC4</f>
        <v/>
      </c>
      <c r="AD8">
        <f>Base!AD4</f>
        <v/>
      </c>
      <c r="AE8">
        <f>Base!AE4</f>
        <v/>
      </c>
      <c r="AF8">
        <f>Base!AF4</f>
        <v/>
      </c>
      <c r="AG8">
        <f>Base!AG4</f>
        <v/>
      </c>
      <c r="AH8">
        <f>Base!AH4</f>
        <v/>
      </c>
      <c r="AI8">
        <f>Base!AI4</f>
        <v/>
      </c>
      <c r="AJ8">
        <f>Base!AJ4</f>
        <v/>
      </c>
      <c r="AK8">
        <f>Base!AK4</f>
        <v/>
      </c>
      <c r="AL8">
        <f>Base!AL4</f>
        <v/>
      </c>
      <c r="AM8">
        <f>Base!AM4</f>
        <v/>
      </c>
      <c r="AN8">
        <f>Base!AN4</f>
        <v/>
      </c>
      <c r="AO8">
        <f>Base!AO4</f>
        <v/>
      </c>
      <c r="AP8">
        <f>Base!AP4</f>
        <v/>
      </c>
      <c r="AR8">
        <f>$B$3*INDEX(INDEX(Tables!$B$5:$G$85,0,('Custom lights'!$C$5="CIE 1964 10deg")*3+1),4)*INDEX('Custom lights'!$C$8:$C$88,4)</f>
        <v/>
      </c>
      <c r="AS8">
        <f>$B$3*INDEX(INDEX(Tables!$B$5:$G$85,0,('Custom lights'!$C$5="CIE 1964 10deg")*3+2),4)*INDEX('Custom lights'!$C$8:$C$88,4)</f>
        <v/>
      </c>
      <c r="AT8">
        <f>$B$3*INDEX(INDEX(Tables!$B$5:$G$85,0,('Custom lights'!$C$5="CIE 1964 10deg")*3+3),4)*INDEX('Custom lights'!$C$8:$C$88,4)</f>
        <v/>
      </c>
      <c r="AV8">
        <f>SUMPRODUCT(AR$5:AR$85,Interp!$E$5:$E$85)</f>
        <v/>
      </c>
      <c r="AW8">
        <f>SUMPRODUCT(AS$5:AS$85,Interp!$E$5:$E$85)</f>
        <v/>
      </c>
      <c r="AX8">
        <f>SUMPRODUCT(AT$5:AT$85,Interp!$E$5:$E$85)</f>
        <v/>
      </c>
    </row>
    <row r="9">
      <c r="C9">
        <f>$B$3*SUMPRODUCT(Base!$C$5:$C$85,INDEX(Tables!$B$5:$G$85,0,('Custom lights'!$C$5="CIE 1964 10deg")*3+1),'Custom lights'!$C$8:$C$88)</f>
        <v/>
      </c>
      <c r="D9">
        <f>$B$3*SUMPRODUCT(Base!$D$5:$D$85,INDEX(Tables!$B$5:$G$85,0,('Custom lights'!$C$5="CIE 1964 10deg")*3+1),'Custom lights'!$C$8:$C$88)</f>
        <v/>
      </c>
      <c r="E9">
        <f>$B$3*SUMPRODUCT(Base!$E$5:$E$85,INDEX(Tables!$B$5:$G$85,0,('Custom lights'!$C$5="CIE 1964 10deg")*3+1),'Custom lights'!$C$8:$C$88)</f>
        <v/>
      </c>
      <c r="F9">
        <f>$B$3*SUMPRODUCT(Base!$F$5:$F$85,INDEX(Tables!$B$5:$G$85,0,('Custom lights'!$C$5="CIE 1964 10deg")*3+1),'Custom lights'!$C$8:$C$88)</f>
        <v/>
      </c>
      <c r="G9">
        <f>$B$3*SUMPRODUCT(Base!$G$5:$G$85,INDEX(Tables!$B$5:$G$85,0,('Custom lights'!$C$5="CIE 1964 10deg")*3+1),'Custom lights'!$C$8:$C$88)</f>
        <v/>
      </c>
      <c r="H9">
        <f>$B$3*SUMPRODUCT(Base!$H$5:$H$85,INDEX(Tables!$B$5:$G$85,0,('Custom lights'!$C$5="CIE 1964 10deg")*3+1),'Custom lights'!$C$8:$C$88)</f>
        <v/>
      </c>
      <c r="I9">
        <f>$B$3*SUMPRODUCT(Base!$I$5:$I$85,INDEX(Tables!$B$5:$G$85,0,('Custom lights'!$C$5="CIE 1964 10deg")*3+1),'Custom lights'!$C$8:$C$88)</f>
        <v/>
      </c>
      <c r="J9">
        <f>$B$3*SUMPRODUCT(Base!$J$5:$J$85,INDEX(Tables!$B$5:$G$85,0,('Custom lights'!$C$5="CIE 1964 10deg")*3+1),'Custom lights'!$C$8:$C$88)</f>
        <v/>
      </c>
      <c r="K9">
        <f>$B$3*SUMPRODUCT(Base!$K$5:$K$85,INDEX(Tables!$B$5:$G$85,0,('Custom lights'!$C$5="CIE 1964 10deg")*3+1),'Custom lights'!$C$8:$C$88)</f>
        <v/>
      </c>
      <c r="L9">
        <f>$B$3*SUMPRODUCT(Base!$L$5:$L$85,INDEX(Tables!$B$5:$G$85,0,('Custom lights'!$C$5="CIE 1964 10deg")*3+1),'Custom lights'!$C$8:$C$88)</f>
        <v/>
      </c>
      <c r="M9">
        <f>$B$3*SUMPRODUCT(Base!$M$5:$M$85,INDEX(Tables!$B$5:$G$85,0,('Custom lights'!$C$5="CIE 1964 10deg")*3+1),'Custom lights'!$C$8:$C$88)</f>
        <v/>
      </c>
      <c r="N9">
        <f>$B$3*SUMPRODUCT(Base!$N$5:$N$85,INDEX(Tables!$B$5:$G$85,0,('Custom lights'!$C$5="CIE 1964 10deg")*3+1),'Custom lights'!$C$8:$C$88)</f>
        <v/>
      </c>
      <c r="O9">
        <f>$B$3*SUMPRODUCT(Base!$O$5:$O$85,INDEX(Tables!$B$5:$G$85,0,('Custom lights'!$C$5="CIE 1964 10deg")*3+1),'Custom lights'!$C$8:$C$88)</f>
        <v/>
      </c>
      <c r="P9">
        <f>$B$3*SUMPRODUCT(Base!$P$5:$P$85,INDEX(Tables!$B$5:$G$85,0,('Custom lights'!$C$5="CIE 1964 10deg")*3+1),'Custom lights'!$C$8:$C$88)</f>
        <v/>
      </c>
      <c r="Q9">
        <f>$B$3*SUMPRODUCT(Base!$Q$5:$Q$85,INDEX(Tables!$B$5:$G$85,0,('Custom lights'!$C$5="CIE 1964 10deg")*3+1),'Custom lights'!$C$8:$C$88)</f>
        <v/>
      </c>
      <c r="R9">
        <f>$B$3*SUMPRODUCT(Base!$R$5:$R$85,INDEX(Tables!$B$5:$G$85,0,('Custom lights'!$C$5="CIE 1964 10deg")*3+1),'Custom lights'!$C$8:$C$88)</f>
        <v/>
      </c>
      <c r="S9">
        <f>$B$3*SUMPRODUCT(Base!$S$5:$S$85,INDEX(Tables!$B$5:$G$85,0,('Custom lights'!$C$5="CIE 1964 10deg")*3+1),'Custom lights'!$C$8:$C$88)</f>
        <v/>
      </c>
      <c r="T9">
        <f>$B$3*SUMPRODUCT(Base!$T$5:$T$85,INDEX(Tables!$B$5:$G$85,0,('Custom lights'!$C$5="CIE 1964 10deg")*3+1),'Custom lights'!$C$8:$C$88)</f>
        <v/>
      </c>
      <c r="U9">
        <f>$B$3*SUMPRODUCT(Base!$U$5:$U$85,INDEX(Tables!$B$5:$G$85,0,('Custom lights'!$C$5="CIE 1964 10deg")*3+1),'Custom lights'!$C$8:$C$88)</f>
        <v/>
      </c>
      <c r="V9">
        <f>$B$3*SUMPRODUCT(Base!$V$5:$V$85,INDEX(Tables!$B$5:$G$85,0,('Custom lights'!$C$5="CIE 1964 10deg")*3+1),'Custom lights'!$C$8:$C$88)</f>
        <v/>
      </c>
      <c r="W9">
        <f>$B$3*SUMPRODUCT(Base!$W$5:$W$85,INDEX(Tables!$B$5:$G$85,0,('Custom lights'!$C$5="CIE 1964 10deg")*3+1),'Custom lights'!$C$8:$C$88)</f>
        <v/>
      </c>
      <c r="X9">
        <f>$B$3*SUMPRODUCT(Base!$X$5:$X$85,INDEX(Tables!$B$5:$G$85,0,('Custom lights'!$C$5="CIE 1964 10deg")*3+1),'Custom lights'!$C$8:$C$88)</f>
        <v/>
      </c>
      <c r="Y9">
        <f>$B$3*SUMPRODUCT(Base!$Y$5:$Y$85,INDEX(Tables!$B$5:$G$85,0,('Custom lights'!$C$5="CIE 1964 10deg")*3+1),'Custom lights'!$C$8:$C$88)</f>
        <v/>
      </c>
      <c r="Z9">
        <f>$B$3*SUMPRODUCT(Base!$Z$5:$Z$85,INDEX(Tables!$B$5:$G$85,0,('Custom lights'!$C$5="CIE 1964 10deg")*3+1),'Custom lights'!$C$8:$C$88)</f>
        <v/>
      </c>
      <c r="AA9">
        <f>$B$3*SUMPRODUCT(Base!$AA$5:$AA$85,INDEX(Tables!$B$5:$G$85,0,('Custom lights'!$C$5="CIE 1964 10deg")*3+1),'Custom lights'!$C$8:$C$88)</f>
        <v/>
      </c>
      <c r="AB9">
        <f>$B$3*SUMPRODUCT(Base!$AB$5:$AB$85,INDEX(Tables!$B$5:$G$85,0,('Custom lights'!$C$5="CIE 1964 10deg")*3+1),'Custom lights'!$C$8:$C$88)</f>
        <v/>
      </c>
      <c r="AC9">
        <f>$B$3*SUMPRODUCT(Base!$AC$5:$AC$85,INDEX(Tables!$B$5:$G$85,0,('Custom lights'!$C$5="CIE 1964 10deg")*3+1),'Custom lights'!$C$8:$C$88)</f>
        <v/>
      </c>
      <c r="AD9">
        <f>$B$3*SUMPRODUCT(Base!$AD$5:$AD$85,INDEX(Tables!$B$5:$G$85,0,('Custom lights'!$C$5="CIE 1964 10deg")*3+1),'Custom lights'!$C$8:$C$88)</f>
        <v/>
      </c>
      <c r="AE9">
        <f>$B$3*SUMPRODUCT(Base!$AE$5:$AE$85,INDEX(Tables!$B$5:$G$85,0,('Custom lights'!$C$5="CIE 1964 10deg")*3+1),'Custom lights'!$C$8:$C$88)</f>
        <v/>
      </c>
      <c r="AF9">
        <f>$B$3*SUMPRODUCT(Base!$AF$5:$AF$85,INDEX(Tables!$B$5:$G$85,0,('Custom lights'!$C$5="CIE 1964 10deg")*3+1),'Custom lights'!$C$8:$C$88)</f>
        <v/>
      </c>
      <c r="AG9">
        <f>$B$3*SUMPRODUCT(Base!$AG$5:$AG$85,INDEX(Tables!$B$5:$G$85,0,('Custom lights'!$C$5="CIE 1964 10deg")*3+1),'Custom lights'!$C$8:$C$88)</f>
        <v/>
      </c>
      <c r="AH9">
        <f>$B$3*SUMPRODUCT(Base!$AH$5:$AH$85,INDEX(Tables!$B$5:$G$85,0,('Custom lights'!$C$5="CIE 1964 10deg")*3+1),'Custom lights'!$C$8:$C$88)</f>
        <v/>
      </c>
      <c r="AI9">
        <f>$B$3*SUMPRODUCT(Base!$AI$5:$AI$85,INDEX(Tables!$B$5:$G$85,0,('Custom lights'!$C$5="CIE 1964 10deg")*3+1),'Custom lights'!$C$8:$C$88)</f>
        <v/>
      </c>
      <c r="AJ9">
        <f>$B$3*SUMPRODUCT(Base!$AJ$5:$AJ$85,INDEX(Tables!$B$5:$G$85,0,('Custom lights'!$C$5="CIE 1964 10deg")*3+1),'Custom lights'!$C$8:$C$88)</f>
        <v/>
      </c>
      <c r="AK9">
        <f>$B$3*SUMPRODUCT(Base!$AK$5:$AK$85,INDEX(Tables!$B$5:$G$85,0,('Custom lights'!$C$5="CIE 1964 10deg")*3+1),'Custom lights'!$C$8:$C$88)</f>
        <v/>
      </c>
      <c r="AL9">
        <f>$B$3*SUMPRODUCT(Base!$AL$5:$AL$85,INDEX(Tables!$B$5:$G$85,0,('Custom lights'!$C$5="CIE 1964 10deg")*3+1),'Custom lights'!$C$8:$C$88)</f>
        <v/>
      </c>
      <c r="AM9">
        <f>$B$3*SUMPRODUCT(Base!$AM$5:$AM$85,INDEX(Tables!$B$5:$G$85,0,('Custom lights'!$C$5="CIE 1964 10deg")*3+1),'Custom lights'!$C$8:$C$88)</f>
        <v/>
      </c>
      <c r="AN9">
        <f>$B$3*SUMPRODUCT(Base!$AN$5:$AN$85,INDEX(Tables!$B$5:$G$85,0,('Custom lights'!$C$5="CIE 1964 10deg")*3+1),'Custom lights'!$C$8:$C$88)</f>
        <v/>
      </c>
      <c r="AO9">
        <f>$B$3*SUMPRODUCT(Base!$AO$5:$AO$85,INDEX(Tables!$B$5:$G$85,0,('Custom lights'!$C$5="CIE 1964 10deg")*3+1),'Custom lights'!$C$8:$C$88)</f>
        <v/>
      </c>
      <c r="AP9">
        <f>$B$3*SUMPRODUCT(Base!$AP$5:$AP$85,INDEX(Tables!$B$5:$G$85,0,('Custom lights'!$C$5="CIE 1964 10deg")*3+1),'Custom lights'!$C$8:$C$88)</f>
        <v/>
      </c>
      <c r="AR9">
        <f>$B$3*INDEX(INDEX(Tables!$B$5:$G$85,0,('Custom lights'!$C$5="CIE 1964 10deg")*3+1),5)*INDEX('Custom lights'!$C$8:$C$88,5)</f>
        <v/>
      </c>
      <c r="AS9">
        <f>$B$3*INDEX(INDEX(Tables!$B$5:$G$85,0,('Custom lights'!$C$5="CIE 1964 10deg")*3+2),5)*INDEX('Custom lights'!$C$8:$C$88,5)</f>
        <v/>
      </c>
      <c r="AT9">
        <f>$B$3*INDEX(INDEX(Tables!$B$5:$G$85,0,('Custom lights'!$C$5="CIE 1964 10deg")*3+3),5)*INDEX('Custom lights'!$C$8:$C$88,5)</f>
        <v/>
      </c>
      <c r="AV9">
        <f>SUMPRODUCT(AR$5:AR$85,Interp!$F$5:$F$85)</f>
        <v/>
      </c>
      <c r="AW9">
        <f>SUMPRODUCT(AS$5:AS$85,Interp!$F$5:$F$85)</f>
        <v/>
      </c>
      <c r="AX9">
        <f>SUMPRODUCT(AT$5:AT$85,Interp!$F$5:$F$85)</f>
        <v/>
      </c>
    </row>
    <row r="10">
      <c r="C10">
        <f>$B$3*SUMPRODUCT(Base!$C$5:$C$85,INDEX(Tables!$B$5:$G$85,0,('Custom lights'!$C$5="CIE 1964 10deg")*3+2),'Custom lights'!$C$8:$C$88)</f>
        <v/>
      </c>
      <c r="D10">
        <f>$B$3*SUMPRODUCT(Base!$D$5:$D$85,INDEX(Tables!$B$5:$G$85,0,('Custom lights'!$C$5="CIE 1964 10deg")*3+2),'Custom lights'!$C$8:$C$88)</f>
        <v/>
      </c>
      <c r="E10">
        <f>$B$3*SUMPRODUCT(Base!$E$5:$E$85,INDEX(Tables!$B$5:$G$85,0,('Custom lights'!$C$5="CIE 1964 10deg")*3+2),'Custom lights'!$C$8:$C$88)</f>
        <v/>
      </c>
      <c r="F10">
        <f>$B$3*SUMPRODUCT(Base!$F$5:$F$85,INDEX(Tables!$B$5:$G$85,0,('Custom lights'!$C$5="CIE 1964 10deg")*3+2),'Custom lights'!$C$8:$C$88)</f>
        <v/>
      </c>
      <c r="G10">
        <f>$B$3*SUMPRODUCT(Base!$G$5:$G$85,INDEX(Tables!$B$5:$G$85,0,('Custom lights'!$C$5="CIE 1964 10deg")*3+2),'Custom lights'!$C$8:$C$88)</f>
        <v/>
      </c>
      <c r="H10">
        <f>$B$3*SUMPRODUCT(Base!$H$5:$H$85,INDEX(Tables!$B$5:$G$85,0,('Custom lights'!$C$5="CIE 1964 10deg")*3+2),'Custom lights'!$C$8:$C$88)</f>
        <v/>
      </c>
      <c r="I10">
        <f>$B$3*SUMPRODUCT(Base!$I$5:$I$85,INDEX(Tables!$B$5:$G$85,0,('Custom lights'!$C$5="CIE 1964 10deg")*3+2),'Custom lights'!$C$8:$C$88)</f>
        <v/>
      </c>
      <c r="J10">
        <f>$B$3*SUMPRODUCT(Base!$J$5:$J$85,INDEX(Tables!$B$5:$G$85,0,('Custom lights'!$C$5="CIE 1964 10deg")*3+2),'Custom lights'!$C$8:$C$88)</f>
        <v/>
      </c>
      <c r="K10">
        <f>$B$3*SUMPRODUCT(Base!$K$5:$K$85,INDEX(Tables!$B$5:$G$85,0,('Custom lights'!$C$5="CIE 1964 10deg")*3+2),'Custom lights'!$C$8:$C$88)</f>
        <v/>
      </c>
      <c r="L10">
        <f>$B$3*SUMPRODUCT(Base!$L$5:$L$85,INDEX(Tables!$B$5:$G$85,0,('Custom lights'!$C$5="CIE 1964 10deg")*3+2),'Custom lights'!$C$8:$C$88)</f>
        <v/>
      </c>
      <c r="M10">
        <f>$B$3*SUMPRODUCT(Base!$M$5:$M$85,INDEX(Tables!$B$5:$G$85,0,('Custom lights'!$C$5="CIE 1964 10deg")*3+2),'Custom lights'!$C$8:$C$88)</f>
        <v/>
      </c>
      <c r="N10">
        <f>$B$3*SUMPRODUCT(Base!$N$5:$N$85,INDEX(Tables!$B$5:$G$85,0,('Custom lights'!$C$5="CIE 1964 10deg")*3+2),'Custom lights'!$C$8:$C$88)</f>
        <v/>
      </c>
      <c r="O10">
        <f>$B$3*SUMPRODUCT(Base!$O$5:$O$85,INDEX(Tables!$B$5:$G$85,0,('Custom lights'!$C$5="CIE 1964 10deg")*3+2),'Custom lights'!$C$8:$C$88)</f>
        <v/>
      </c>
      <c r="P10">
        <f>$B$3*SUMPRODUCT(Base!$P$5:$P$85,INDEX(Tables!$B$5:$G$85,0,('Custom lights'!$C$5="CIE 1964 10deg")*3+2),'Custom lights'!$C$8:$C$88)</f>
        <v/>
      </c>
      <c r="Q10">
        <f>$B$3*SUMPRODUCT(Base!$Q$5:$Q$85,INDEX(Tables!$B$5:$G$85,0,('Custom lights'!$C$5="CIE 1964 10deg")*3+2),'Custom lights'!$C$8:$C$88)</f>
        <v/>
      </c>
      <c r="R10">
        <f>$B$3*SUMPRODUCT(Base!$R$5:$R$85,INDEX(Tables!$B$5:$G$85,0,('Custom lights'!$C$5="CIE 1964 10deg")*3+2),'Custom lights'!$C$8:$C$88)</f>
        <v/>
      </c>
      <c r="S10">
        <f>$B$3*SUMPRODUCT(Base!$S$5:$S$85,INDEX(Tables!$B$5:$G$85,0,('Custom lights'!$C$5="CIE 1964 10deg")*3+2),'Custom lights'!$C$8:$C$88)</f>
        <v/>
      </c>
      <c r="T10">
        <f>$B$3*SUMPRODUCT(Base!$T$5:$T$85,INDEX(Tables!$B$5:$G$85,0,('Custom lights'!$C$5="CIE 1964 10deg")*3+2),'Custom lights'!$C$8:$C$88)</f>
        <v/>
      </c>
      <c r="U10">
        <f>$B$3*SUMPRODUCT(Base!$U$5:$U$85,INDEX(Tables!$B$5:$G$85,0,('Custom lights'!$C$5="CIE 1964 10deg")*3+2),'Custom lights'!$C$8:$C$88)</f>
        <v/>
      </c>
      <c r="V10">
        <f>$B$3*SUMPRODUCT(Base!$V$5:$V$85,INDEX(Tables!$B$5:$G$85,0,('Custom lights'!$C$5="CIE 1964 10deg")*3+2),'Custom lights'!$C$8:$C$88)</f>
        <v/>
      </c>
      <c r="W10">
        <f>$B$3*SUMPRODUCT(Base!$W$5:$W$85,INDEX(Tables!$B$5:$G$85,0,('Custom lights'!$C$5="CIE 1964 10deg")*3+2),'Custom lights'!$C$8:$C$88)</f>
        <v/>
      </c>
      <c r="X10">
        <f>$B$3*SUMPRODUCT(Base!$X$5:$X$85,INDEX(Tables!$B$5:$G$85,0,('Custom lights'!$C$5="CIE 1964 10deg")*3+2),'Custom lights'!$C$8:$C$88)</f>
        <v/>
      </c>
      <c r="Y10">
        <f>$B$3*SUMPRODUCT(Base!$Y$5:$Y$85,INDEX(Tables!$B$5:$G$85,0,('Custom lights'!$C$5="CIE 1964 10deg")*3+2),'Custom lights'!$C$8:$C$88)</f>
        <v/>
      </c>
      <c r="Z10">
        <f>$B$3*SUMPRODUCT(Base!$Z$5:$Z$85,INDEX(Tables!$B$5:$G$85,0,('Custom lights'!$C$5="CIE 1964 10deg")*3+2),'Custom lights'!$C$8:$C$88)</f>
        <v/>
      </c>
      <c r="AA10">
        <f>$B$3*SUMPRODUCT(Base!$AA$5:$AA$85,INDEX(Tables!$B$5:$G$85,0,('Custom lights'!$C$5="CIE 1964 10deg")*3+2),'Custom lights'!$C$8:$C$88)</f>
        <v/>
      </c>
      <c r="AB10">
        <f>$B$3*SUMPRODUCT(Base!$AB$5:$AB$85,INDEX(Tables!$B$5:$G$85,0,('Custom lights'!$C$5="CIE 1964 10deg")*3+2),'Custom lights'!$C$8:$C$88)</f>
        <v/>
      </c>
      <c r="AC10">
        <f>$B$3*SUMPRODUCT(Base!$AC$5:$AC$85,INDEX(Tables!$B$5:$G$85,0,('Custom lights'!$C$5="CIE 1964 10deg")*3+2),'Custom lights'!$C$8:$C$88)</f>
        <v/>
      </c>
      <c r="AD10">
        <f>$B$3*SUMPRODUCT(Base!$AD$5:$AD$85,INDEX(Tables!$B$5:$G$85,0,('Custom lights'!$C$5="CIE 1964 10deg")*3+2),'Custom lights'!$C$8:$C$88)</f>
        <v/>
      </c>
      <c r="AE10">
        <f>$B$3*SUMPRODUCT(Base!$AE$5:$AE$85,INDEX(Tables!$B$5:$G$85,0,('Custom lights'!$C$5="CIE 1964 10deg")*3+2),'Custom lights'!$C$8:$C$88)</f>
        <v/>
      </c>
      <c r="AF10">
        <f>$B$3*SUMPRODUCT(Base!$AF$5:$AF$85,INDEX(Tables!$B$5:$G$85,0,('Custom lights'!$C$5="CIE 1964 10deg")*3+2),'Custom lights'!$C$8:$C$88)</f>
        <v/>
      </c>
      <c r="AG10">
        <f>$B$3*SUMPRODUCT(Base!$AG$5:$AG$85,INDEX(Tables!$B$5:$G$85,0,('Custom lights'!$C$5="CIE 1964 10deg")*3+2),'Custom lights'!$C$8:$C$88)</f>
        <v/>
      </c>
      <c r="AH10">
        <f>$B$3*SUMPRODUCT(Base!$AH$5:$AH$85,INDEX(Tables!$B$5:$G$85,0,('Custom lights'!$C$5="CIE 1964 10deg")*3+2),'Custom lights'!$C$8:$C$88)</f>
        <v/>
      </c>
      <c r="AI10">
        <f>$B$3*SUMPRODUCT(Base!$AI$5:$AI$85,INDEX(Tables!$B$5:$G$85,0,('Custom lights'!$C$5="CIE 1964 10deg")*3+2),'Custom lights'!$C$8:$C$88)</f>
        <v/>
      </c>
      <c r="AJ10">
        <f>$B$3*SUMPRODUCT(Base!$AJ$5:$AJ$85,INDEX(Tables!$B$5:$G$85,0,('Custom lights'!$C$5="CIE 1964 10deg")*3+2),'Custom lights'!$C$8:$C$88)</f>
        <v/>
      </c>
      <c r="AK10">
        <f>$B$3*SUMPRODUCT(Base!$AK$5:$AK$85,INDEX(Tables!$B$5:$G$85,0,('Custom lights'!$C$5="CIE 1964 10deg")*3+2),'Custom lights'!$C$8:$C$88)</f>
        <v/>
      </c>
      <c r="AL10">
        <f>$B$3*SUMPRODUCT(Base!$AL$5:$AL$85,INDEX(Tables!$B$5:$G$85,0,('Custom lights'!$C$5="CIE 1964 10deg")*3+2),'Custom lights'!$C$8:$C$88)</f>
        <v/>
      </c>
      <c r="AM10">
        <f>$B$3*SUMPRODUCT(Base!$AM$5:$AM$85,INDEX(Tables!$B$5:$G$85,0,('Custom lights'!$C$5="CIE 1964 10deg")*3+2),'Custom lights'!$C$8:$C$88)</f>
        <v/>
      </c>
      <c r="AN10">
        <f>$B$3*SUMPRODUCT(Base!$AN$5:$AN$85,INDEX(Tables!$B$5:$G$85,0,('Custom lights'!$C$5="CIE 1964 10deg")*3+2),'Custom lights'!$C$8:$C$88)</f>
        <v/>
      </c>
      <c r="AO10">
        <f>$B$3*SUMPRODUCT(Base!$AO$5:$AO$85,INDEX(Tables!$B$5:$G$85,0,('Custom lights'!$C$5="CIE 1964 10deg")*3+2),'Custom lights'!$C$8:$C$88)</f>
        <v/>
      </c>
      <c r="AP10">
        <f>$B$3*SUMPRODUCT(Base!$AP$5:$AP$85,INDEX(Tables!$B$5:$G$85,0,('Custom lights'!$C$5="CIE 1964 10deg")*3+2),'Custom lights'!$C$8:$C$88)</f>
        <v/>
      </c>
      <c r="AR10">
        <f>$B$3*INDEX(INDEX(Tables!$B$5:$G$85,0,('Custom lights'!$C$5="CIE 1964 10deg")*3+1),6)*INDEX('Custom lights'!$C$8:$C$88,6)</f>
        <v/>
      </c>
      <c r="AS10">
        <f>$B$3*INDEX(INDEX(Tables!$B$5:$G$85,0,('Custom lights'!$C$5="CIE 1964 10deg")*3+2),6)*INDEX('Custom lights'!$C$8:$C$88,6)</f>
        <v/>
      </c>
      <c r="AT10">
        <f>$B$3*INDEX(INDEX(Tables!$B$5:$G$85,0,('Custom lights'!$C$5="CIE 1964 10deg")*3+3),6)*INDEX('Custom lights'!$C$8:$C$88,6)</f>
        <v/>
      </c>
      <c r="AV10">
        <f>SUMPRODUCT(AR$5:AR$85,Interp!$G$5:$G$85)</f>
        <v/>
      </c>
      <c r="AW10">
        <f>SUMPRODUCT(AS$5:AS$85,Interp!$G$5:$G$85)</f>
        <v/>
      </c>
      <c r="AX10">
        <f>SUMPRODUCT(AT$5:AT$85,Interp!$G$5:$G$85)</f>
        <v/>
      </c>
    </row>
    <row r="11">
      <c r="C11">
        <f>$B$3*SUMPRODUCT(Base!$C$5:$C$85,INDEX(Tables!$B$5:$G$85,0,('Custom lights'!$C$5="CIE 1964 10deg")*3+3),'Custom lights'!$C$8:$C$88)</f>
        <v/>
      </c>
      <c r="D11">
        <f>$B$3*SUMPRODUCT(Base!$D$5:$D$85,INDEX(Tables!$B$5:$G$85,0,('Custom lights'!$C$5="CIE 1964 10deg")*3+3),'Custom lights'!$C$8:$C$88)</f>
        <v/>
      </c>
      <c r="E11">
        <f>$B$3*SUMPRODUCT(Base!$E$5:$E$85,INDEX(Tables!$B$5:$G$85,0,('Custom lights'!$C$5="CIE 1964 10deg")*3+3),'Custom lights'!$C$8:$C$88)</f>
        <v/>
      </c>
      <c r="F11">
        <f>$B$3*SUMPRODUCT(Base!$F$5:$F$85,INDEX(Tables!$B$5:$G$85,0,('Custom lights'!$C$5="CIE 1964 10deg")*3+3),'Custom lights'!$C$8:$C$88)</f>
        <v/>
      </c>
      <c r="G11">
        <f>$B$3*SUMPRODUCT(Base!$G$5:$G$85,INDEX(Tables!$B$5:$G$85,0,('Custom lights'!$C$5="CIE 1964 10deg")*3+3),'Custom lights'!$C$8:$C$88)</f>
        <v/>
      </c>
      <c r="H11">
        <f>$B$3*SUMPRODUCT(Base!$H$5:$H$85,INDEX(Tables!$B$5:$G$85,0,('Custom lights'!$C$5="CIE 1964 10deg")*3+3),'Custom lights'!$C$8:$C$88)</f>
        <v/>
      </c>
      <c r="I11">
        <f>$B$3*SUMPRODUCT(Base!$I$5:$I$85,INDEX(Tables!$B$5:$G$85,0,('Custom lights'!$C$5="CIE 1964 10deg")*3+3),'Custom lights'!$C$8:$C$88)</f>
        <v/>
      </c>
      <c r="J11">
        <f>$B$3*SUMPRODUCT(Base!$J$5:$J$85,INDEX(Tables!$B$5:$G$85,0,('Custom lights'!$C$5="CIE 1964 10deg")*3+3),'Custom lights'!$C$8:$C$88)</f>
        <v/>
      </c>
      <c r="K11">
        <f>$B$3*SUMPRODUCT(Base!$K$5:$K$85,INDEX(Tables!$B$5:$G$85,0,('Custom lights'!$C$5="CIE 1964 10deg")*3+3),'Custom lights'!$C$8:$C$88)</f>
        <v/>
      </c>
      <c r="L11">
        <f>$B$3*SUMPRODUCT(Base!$L$5:$L$85,INDEX(Tables!$B$5:$G$85,0,('Custom lights'!$C$5="CIE 1964 10deg")*3+3),'Custom lights'!$C$8:$C$88)</f>
        <v/>
      </c>
      <c r="M11">
        <f>$B$3*SUMPRODUCT(Base!$M$5:$M$85,INDEX(Tables!$B$5:$G$85,0,('Custom lights'!$C$5="CIE 1964 10deg")*3+3),'Custom lights'!$C$8:$C$88)</f>
        <v/>
      </c>
      <c r="N11">
        <f>$B$3*SUMPRODUCT(Base!$N$5:$N$85,INDEX(Tables!$B$5:$G$85,0,('Custom lights'!$C$5="CIE 1964 10deg")*3+3),'Custom lights'!$C$8:$C$88)</f>
        <v/>
      </c>
      <c r="O11">
        <f>$B$3*SUMPRODUCT(Base!$O$5:$O$85,INDEX(Tables!$B$5:$G$85,0,('Custom lights'!$C$5="CIE 1964 10deg")*3+3),'Custom lights'!$C$8:$C$88)</f>
        <v/>
      </c>
      <c r="P11">
        <f>$B$3*SUMPRODUCT(Base!$P$5:$P$85,INDEX(Tables!$B$5:$G$85,0,('Custom lights'!$C$5="CIE 1964 10deg")*3+3),'Custom lights'!$C$8:$C$88)</f>
        <v/>
      </c>
      <c r="Q11">
        <f>$B$3*SUMPRODUCT(Base!$Q$5:$Q$85,INDEX(Tables!$B$5:$G$85,0,('Custom lights'!$C$5="CIE 1964 10deg")*3+3),'Custom lights'!$C$8:$C$88)</f>
        <v/>
      </c>
      <c r="R11">
        <f>$B$3*SUMPRODUCT(Base!$R$5:$R$85,INDEX(Tables!$B$5:$G$85,0,('Custom lights'!$C$5="CIE 1964 10deg")*3+3),'Custom lights'!$C$8:$C$88)</f>
        <v/>
      </c>
      <c r="S11">
        <f>$B$3*SUMPRODUCT(Base!$S$5:$S$85,INDEX(Tables!$B$5:$G$85,0,('Custom lights'!$C$5="CIE 1964 10deg")*3+3),'Custom lights'!$C$8:$C$88)</f>
        <v/>
      </c>
      <c r="T11">
        <f>$B$3*SUMPRODUCT(Base!$T$5:$T$85,INDEX(Tables!$B$5:$G$85,0,('Custom lights'!$C$5="CIE 1964 10deg")*3+3),'Custom lights'!$C$8:$C$88)</f>
        <v/>
      </c>
      <c r="U11">
        <f>$B$3*SUMPRODUCT(Base!$U$5:$U$85,INDEX(Tables!$B$5:$G$85,0,('Custom lights'!$C$5="CIE 1964 10deg")*3+3),'Custom lights'!$C$8:$C$88)</f>
        <v/>
      </c>
      <c r="V11">
        <f>$B$3*SUMPRODUCT(Base!$V$5:$V$85,INDEX(Tables!$B$5:$G$85,0,('Custom lights'!$C$5="CIE 1964 10deg")*3+3),'Custom lights'!$C$8:$C$88)</f>
        <v/>
      </c>
      <c r="W11">
        <f>$B$3*SUMPRODUCT(Base!$W$5:$W$85,INDEX(Tables!$B$5:$G$85,0,('Custom lights'!$C$5="CIE 1964 10deg")*3+3),'Custom lights'!$C$8:$C$88)</f>
        <v/>
      </c>
      <c r="X11">
        <f>$B$3*SUMPRODUCT(Base!$X$5:$X$85,INDEX(Tables!$B$5:$G$85,0,('Custom lights'!$C$5="CIE 1964 10deg")*3+3),'Custom lights'!$C$8:$C$88)</f>
        <v/>
      </c>
      <c r="Y11">
        <f>$B$3*SUMPRODUCT(Base!$Y$5:$Y$85,INDEX(Tables!$B$5:$G$85,0,('Custom lights'!$C$5="CIE 1964 10deg")*3+3),'Custom lights'!$C$8:$C$88)</f>
        <v/>
      </c>
      <c r="Z11">
        <f>$B$3*SUMPRODUCT(Base!$Z$5:$Z$85,INDEX(Tables!$B$5:$G$85,0,('Custom lights'!$C$5="CIE 1964 10deg")*3+3),'Custom lights'!$C$8:$C$88)</f>
        <v/>
      </c>
      <c r="AA11">
        <f>$B$3*SUMPRODUCT(Base!$AA$5:$AA$85,INDEX(Tables!$B$5:$G$85,0,('Custom lights'!$C$5="CIE 1964 10deg")*3+3),'Custom lights'!$C$8:$C$88)</f>
        <v/>
      </c>
      <c r="AB11">
        <f>$B$3*SUMPRODUCT(Base!$AB$5:$AB$85,INDEX(Tables!$B$5:$G$85,0,('Custom lights'!$C$5="CIE 1964 10deg")*3+3),'Custom lights'!$C$8:$C$88)</f>
        <v/>
      </c>
      <c r="AC11">
        <f>$B$3*SUMPRODUCT(Base!$AC$5:$AC$85,INDEX(Tables!$B$5:$G$85,0,('Custom lights'!$C$5="CIE 1964 10deg")*3+3),'Custom lights'!$C$8:$C$88)</f>
        <v/>
      </c>
      <c r="AD11">
        <f>$B$3*SUMPRODUCT(Base!$AD$5:$AD$85,INDEX(Tables!$B$5:$G$85,0,('Custom lights'!$C$5="CIE 1964 10deg")*3+3),'Custom lights'!$C$8:$C$88)</f>
        <v/>
      </c>
      <c r="AE11">
        <f>$B$3*SUMPRODUCT(Base!$AE$5:$AE$85,INDEX(Tables!$B$5:$G$85,0,('Custom lights'!$C$5="CIE 1964 10deg")*3+3),'Custom lights'!$C$8:$C$88)</f>
        <v/>
      </c>
      <c r="AF11">
        <f>$B$3*SUMPRODUCT(Base!$AF$5:$AF$85,INDEX(Tables!$B$5:$G$85,0,('Custom lights'!$C$5="CIE 1964 10deg")*3+3),'Custom lights'!$C$8:$C$88)</f>
        <v/>
      </c>
      <c r="AG11">
        <f>$B$3*SUMPRODUCT(Base!$AG$5:$AG$85,INDEX(Tables!$B$5:$G$85,0,('Custom lights'!$C$5="CIE 1964 10deg")*3+3),'Custom lights'!$C$8:$C$88)</f>
        <v/>
      </c>
      <c r="AH11">
        <f>$B$3*SUMPRODUCT(Base!$AH$5:$AH$85,INDEX(Tables!$B$5:$G$85,0,('Custom lights'!$C$5="CIE 1964 10deg")*3+3),'Custom lights'!$C$8:$C$88)</f>
        <v/>
      </c>
      <c r="AI11">
        <f>$B$3*SUMPRODUCT(Base!$AI$5:$AI$85,INDEX(Tables!$B$5:$G$85,0,('Custom lights'!$C$5="CIE 1964 10deg")*3+3),'Custom lights'!$C$8:$C$88)</f>
        <v/>
      </c>
      <c r="AJ11">
        <f>$B$3*SUMPRODUCT(Base!$AJ$5:$AJ$85,INDEX(Tables!$B$5:$G$85,0,('Custom lights'!$C$5="CIE 1964 10deg")*3+3),'Custom lights'!$C$8:$C$88)</f>
        <v/>
      </c>
      <c r="AK11">
        <f>$B$3*SUMPRODUCT(Base!$AK$5:$AK$85,INDEX(Tables!$B$5:$G$85,0,('Custom lights'!$C$5="CIE 1964 10deg")*3+3),'Custom lights'!$C$8:$C$88)</f>
        <v/>
      </c>
      <c r="AL11">
        <f>$B$3*SUMPRODUCT(Base!$AL$5:$AL$85,INDEX(Tables!$B$5:$G$85,0,('Custom lights'!$C$5="CIE 1964 10deg")*3+3),'Custom lights'!$C$8:$C$88)</f>
        <v/>
      </c>
      <c r="AM11">
        <f>$B$3*SUMPRODUCT(Base!$AM$5:$AM$85,INDEX(Tables!$B$5:$G$85,0,('Custom lights'!$C$5="CIE 1964 10deg")*3+3),'Custom lights'!$C$8:$C$88)</f>
        <v/>
      </c>
      <c r="AN11">
        <f>$B$3*SUMPRODUCT(Base!$AN$5:$AN$85,INDEX(Tables!$B$5:$G$85,0,('Custom lights'!$C$5="CIE 1964 10deg")*3+3),'Custom lights'!$C$8:$C$88)</f>
        <v/>
      </c>
      <c r="AO11">
        <f>$B$3*SUMPRODUCT(Base!$AO$5:$AO$85,INDEX(Tables!$B$5:$G$85,0,('Custom lights'!$C$5="CIE 1964 10deg")*3+3),'Custom lights'!$C$8:$C$88)</f>
        <v/>
      </c>
      <c r="AP11">
        <f>$B$3*SUMPRODUCT(Base!$AP$5:$AP$85,INDEX(Tables!$B$5:$G$85,0,('Custom lights'!$C$5="CIE 1964 10deg")*3+3),'Custom lights'!$C$8:$C$88)</f>
        <v/>
      </c>
      <c r="AR11">
        <f>$B$3*INDEX(INDEX(Tables!$B$5:$G$85,0,('Custom lights'!$C$5="CIE 1964 10deg")*3+1),7)*INDEX('Custom lights'!$C$8:$C$88,7)</f>
        <v/>
      </c>
      <c r="AS11">
        <f>$B$3*INDEX(INDEX(Tables!$B$5:$G$85,0,('Custom lights'!$C$5="CIE 1964 10deg")*3+2),7)*INDEX('Custom lights'!$C$8:$C$88,7)</f>
        <v/>
      </c>
      <c r="AT11">
        <f>$B$3*INDEX(INDEX(Tables!$B$5:$G$85,0,('Custom lights'!$C$5="CIE 1964 10deg")*3+3),7)*INDEX('Custom lights'!$C$8:$C$88,7)</f>
        <v/>
      </c>
      <c r="AV11">
        <f>SUMPRODUCT(AR$5:AR$85,Interp!$H$5:$H$85)</f>
        <v/>
      </c>
      <c r="AW11">
        <f>SUMPRODUCT(AS$5:AS$85,Interp!$H$5:$H$85)</f>
        <v/>
      </c>
      <c r="AX11">
        <f>SUMPRODUCT(AT$5:AT$85,Interp!$H$5:$H$85)</f>
        <v/>
      </c>
    </row>
    <row r="12">
      <c r="AR12">
        <f>$B$3*INDEX(INDEX(Tables!$B$5:$G$85,0,('Custom lights'!$C$5="CIE 1964 10deg")*3+1),8)*INDEX('Custom lights'!$C$8:$C$88,8)</f>
        <v/>
      </c>
      <c r="AS12">
        <f>$B$3*INDEX(INDEX(Tables!$B$5:$G$85,0,('Custom lights'!$C$5="CIE 1964 10deg")*3+2),8)*INDEX('Custom lights'!$C$8:$C$88,8)</f>
        <v/>
      </c>
      <c r="AT12">
        <f>$B$3*INDEX(INDEX(Tables!$B$5:$G$85,0,('Custom lights'!$C$5="CIE 1964 10deg")*3+3),8)*INDEX('Custom lights'!$C$8:$C$88,8)</f>
        <v/>
      </c>
      <c r="AV12">
        <f>SUMPRODUCT(AR$5:AR$85,Interp!$I$5:$I$85)</f>
        <v/>
      </c>
      <c r="AW12">
        <f>SUMPRODUCT(AS$5:AS$85,Interp!$I$5:$I$85)</f>
        <v/>
      </c>
      <c r="AX12">
        <f>SUMPRODUCT(AT$5:AT$85,Interp!$I$5:$I$85)</f>
        <v/>
      </c>
    </row>
    <row r="13">
      <c r="A13" t="inlineStr">
        <is>
          <t>Step 1. Rotate white onto the first axis</t>
        </is>
      </c>
      <c r="AR13">
        <f>$B$3*INDEX(INDEX(Tables!$B$5:$G$85,0,('Custom lights'!$C$5="CIE 1964 10deg")*3+1),9)*INDEX('Custom lights'!$C$8:$C$88,9)</f>
        <v/>
      </c>
      <c r="AS13">
        <f>$B$3*INDEX(INDEX(Tables!$B$5:$G$85,0,('Custom lights'!$C$5="CIE 1964 10deg")*3+2),9)*INDEX('Custom lights'!$C$8:$C$88,9)</f>
        <v/>
      </c>
      <c r="AT13">
        <f>$B$3*INDEX(INDEX(Tables!$B$5:$G$85,0,('Custom lights'!$C$5="CIE 1964 10deg")*3+3),9)*INDEX('Custom lights'!$C$8:$C$88,9)</f>
        <v/>
      </c>
      <c r="AV13">
        <f>SUMPRODUCT(AR$5:AR$85,Interp!$J$5:$J$85)</f>
        <v/>
      </c>
      <c r="AW13">
        <f>SUMPRODUCT(AS$5:AS$85,Interp!$J$5:$J$85)</f>
        <v/>
      </c>
      <c r="AX13">
        <f>SUMPRODUCT(AT$5:AT$85,Interp!$J$5:$J$85)</f>
        <v/>
      </c>
    </row>
    <row r="14">
      <c r="A14" t="inlineStr">
        <is>
          <t>phi3</t>
        </is>
      </c>
      <c r="B14">
        <f>-ATAN2($C$6,$D$6)</f>
        <v/>
      </c>
      <c r="AR14">
        <f>$B$3*INDEX(INDEX(Tables!$B$5:$G$85,0,('Custom lights'!$C$5="CIE 1964 10deg")*3+1),10)*INDEX('Custom lights'!$C$8:$C$88,10)</f>
        <v/>
      </c>
      <c r="AS14">
        <f>$B$3*INDEX(INDEX(Tables!$B$5:$G$85,0,('Custom lights'!$C$5="CIE 1964 10deg")*3+2),10)*INDEX('Custom lights'!$C$8:$C$88,10)</f>
        <v/>
      </c>
      <c r="AT14">
        <f>$B$3*INDEX(INDEX(Tables!$B$5:$G$85,0,('Custom lights'!$C$5="CIE 1964 10deg")*3+3),10)*INDEX('Custom lights'!$C$8:$C$88,10)</f>
        <v/>
      </c>
      <c r="AV14">
        <f>SUMPRODUCT(AR$5:AR$85,Interp!$K$5:$K$85)</f>
        <v/>
      </c>
      <c r="AW14">
        <f>SUMPRODUCT(AS$5:AS$85,Interp!$K$5:$K$85)</f>
        <v/>
      </c>
      <c r="AX14">
        <f>SUMPRODUCT(AT$5:AT$85,Interp!$K$5:$K$85)</f>
        <v/>
      </c>
    </row>
    <row r="15">
      <c r="B15">
        <f>1</f>
        <v/>
      </c>
      <c r="C15">
        <f>0</f>
        <v/>
      </c>
      <c r="D15">
        <f>0</f>
        <v/>
      </c>
      <c r="AR15">
        <f>$B$3*INDEX(INDEX(Tables!$B$5:$G$85,0,('Custom lights'!$C$5="CIE 1964 10deg")*3+1),11)*INDEX('Custom lights'!$C$8:$C$88,11)</f>
        <v/>
      </c>
      <c r="AS15">
        <f>$B$3*INDEX(INDEX(Tables!$B$5:$G$85,0,('Custom lights'!$C$5="CIE 1964 10deg")*3+2),11)*INDEX('Custom lights'!$C$8:$C$88,11)</f>
        <v/>
      </c>
      <c r="AT15">
        <f>$B$3*INDEX(INDEX(Tables!$B$5:$G$85,0,('Custom lights'!$C$5="CIE 1964 10deg")*3+3),11)*INDEX('Custom lights'!$C$8:$C$88,11)</f>
        <v/>
      </c>
      <c r="AV15">
        <f>SUMPRODUCT(AR$5:AR$85,Interp!$L$5:$L$85)</f>
        <v/>
      </c>
      <c r="AW15">
        <f>SUMPRODUCT(AS$5:AS$85,Interp!$L$5:$L$85)</f>
        <v/>
      </c>
      <c r="AX15">
        <f>SUMPRODUCT(AT$5:AT$85,Interp!$L$5:$L$85)</f>
        <v/>
      </c>
    </row>
    <row r="16">
      <c r="B16">
        <f>0</f>
        <v/>
      </c>
      <c r="C16">
        <f>COS($B$14)</f>
        <v/>
      </c>
      <c r="D16">
        <f>-SIN($B$14)</f>
        <v/>
      </c>
      <c r="AR16">
        <f>$B$3*INDEX(INDEX(Tables!$B$5:$G$85,0,('Custom lights'!$C$5="CIE 1964 10deg")*3+1),12)*INDEX('Custom lights'!$C$8:$C$88,12)</f>
        <v/>
      </c>
      <c r="AS16">
        <f>$B$3*INDEX(INDEX(Tables!$B$5:$G$85,0,('Custom lights'!$C$5="CIE 1964 10deg")*3+2),12)*INDEX('Custom lights'!$C$8:$C$88,12)</f>
        <v/>
      </c>
      <c r="AT16">
        <f>$B$3*INDEX(INDEX(Tables!$B$5:$G$85,0,('Custom lights'!$C$5="CIE 1964 10deg")*3+3),12)*INDEX('Custom lights'!$C$8:$C$88,12)</f>
        <v/>
      </c>
      <c r="AV16">
        <f>SUMPRODUCT(AR$5:AR$85,Interp!$M$5:$M$85)</f>
        <v/>
      </c>
      <c r="AW16">
        <f>SUMPRODUCT(AS$5:AS$85,Interp!$M$5:$M$85)</f>
        <v/>
      </c>
      <c r="AX16">
        <f>SUMPRODUCT(AT$5:AT$85,Interp!$M$5:$M$85)</f>
        <v/>
      </c>
    </row>
    <row r="17">
      <c r="B17">
        <f>0</f>
        <v/>
      </c>
      <c r="C17">
        <f>SIN($B$14)</f>
        <v/>
      </c>
      <c r="D17">
        <f>COS($B$14)</f>
        <v/>
      </c>
      <c r="AR17">
        <f>$B$3*INDEX(INDEX(Tables!$B$5:$G$85,0,('Custom lights'!$C$5="CIE 1964 10deg")*3+1),13)*INDEX('Custom lights'!$C$8:$C$88,13)</f>
        <v/>
      </c>
      <c r="AS17">
        <f>$B$3*INDEX(INDEX(Tables!$B$5:$G$85,0,('Custom lights'!$C$5="CIE 1964 10deg")*3+2),13)*INDEX('Custom lights'!$C$8:$C$88,13)</f>
        <v/>
      </c>
      <c r="AT17">
        <f>$B$3*INDEX(INDEX(Tables!$B$5:$G$85,0,('Custom lights'!$C$5="CIE 1964 10deg")*3+3),13)*INDEX('Custom lights'!$C$8:$C$88,13)</f>
        <v/>
      </c>
      <c r="AV17">
        <f>SUMPRODUCT(AR$5:AR$85,Interp!$N$5:$N$85)</f>
        <v/>
      </c>
      <c r="AW17">
        <f>SUMPRODUCT(AS$5:AS$85,Interp!$N$5:$N$85)</f>
        <v/>
      </c>
      <c r="AX17">
        <f>SUMPRODUCT(AT$5:AT$85,Interp!$N$5:$N$85)</f>
        <v/>
      </c>
    </row>
    <row r="18">
      <c r="AR18">
        <f>$B$3*INDEX(INDEX(Tables!$B$5:$G$85,0,('Custom lights'!$C$5="CIE 1964 10deg")*3+1),14)*INDEX('Custom lights'!$C$8:$C$88,14)</f>
        <v/>
      </c>
      <c r="AS18">
        <f>$B$3*INDEX(INDEX(Tables!$B$5:$G$85,0,('Custom lights'!$C$5="CIE 1964 10deg")*3+2),14)*INDEX('Custom lights'!$C$8:$C$88,14)</f>
        <v/>
      </c>
      <c r="AT18">
        <f>$B$3*INDEX(INDEX(Tables!$B$5:$G$85,0,('Custom lights'!$C$5="CIE 1964 10deg")*3+3),14)*INDEX('Custom lights'!$C$8:$C$88,14)</f>
        <v/>
      </c>
      <c r="AV18">
        <f>SUMPRODUCT(AR$5:AR$85,Interp!$O$5:$O$85)</f>
        <v/>
      </c>
      <c r="AW18">
        <f>SUMPRODUCT(AS$5:AS$85,Interp!$O$5:$O$85)</f>
        <v/>
      </c>
      <c r="AX18">
        <f>SUMPRODUCT(AT$5:AT$85,Interp!$O$5:$O$85)</f>
        <v/>
      </c>
    </row>
    <row r="19">
      <c r="A19" t="inlineStr">
        <is>
          <t>white after R3</t>
        </is>
      </c>
      <c r="B19">
        <f>$B$15*$B$6+$C$15*$C$6+$D$15*$D$6</f>
        <v/>
      </c>
      <c r="C19">
        <f>$B$16*$B$6+$C$16*$C$6+$D$16*$D$6</f>
        <v/>
      </c>
      <c r="D19">
        <f>$B$17*$B$6+$C$17*$C$6+$D$17*$D$6</f>
        <v/>
      </c>
      <c r="AR19">
        <f>$B$3*INDEX(INDEX(Tables!$B$5:$G$85,0,('Custom lights'!$C$5="CIE 1964 10deg")*3+1),15)*INDEX('Custom lights'!$C$8:$C$88,15)</f>
        <v/>
      </c>
      <c r="AS19">
        <f>$B$3*INDEX(INDEX(Tables!$B$5:$G$85,0,('Custom lights'!$C$5="CIE 1964 10deg")*3+2),15)*INDEX('Custom lights'!$C$8:$C$88,15)</f>
        <v/>
      </c>
      <c r="AT19">
        <f>$B$3*INDEX(INDEX(Tables!$B$5:$G$85,0,('Custom lights'!$C$5="CIE 1964 10deg")*3+3),15)*INDEX('Custom lights'!$C$8:$C$88,15)</f>
        <v/>
      </c>
      <c r="AV19">
        <f>SUMPRODUCT(AR$5:AR$85,Interp!$P$5:$P$85)</f>
        <v/>
      </c>
      <c r="AW19">
        <f>SUMPRODUCT(AS$5:AS$85,Interp!$P$5:$P$85)</f>
        <v/>
      </c>
      <c r="AX19">
        <f>SUMPRODUCT(AT$5:AT$85,Interp!$P$5:$P$85)</f>
        <v/>
      </c>
    </row>
    <row r="20">
      <c r="A20" t="inlineStr">
        <is>
          <t>phi2</t>
        </is>
      </c>
      <c r="B20">
        <f>-ATAN2($B$19,$C$19)</f>
        <v/>
      </c>
      <c r="AR20">
        <f>$B$3*INDEX(INDEX(Tables!$B$5:$G$85,0,('Custom lights'!$C$5="CIE 1964 10deg")*3+1),16)*INDEX('Custom lights'!$C$8:$C$88,16)</f>
        <v/>
      </c>
      <c r="AS20">
        <f>$B$3*INDEX(INDEX(Tables!$B$5:$G$85,0,('Custom lights'!$C$5="CIE 1964 10deg")*3+2),16)*INDEX('Custom lights'!$C$8:$C$88,16)</f>
        <v/>
      </c>
      <c r="AT20">
        <f>$B$3*INDEX(INDEX(Tables!$B$5:$G$85,0,('Custom lights'!$C$5="CIE 1964 10deg")*3+3),16)*INDEX('Custom lights'!$C$8:$C$88,16)</f>
        <v/>
      </c>
      <c r="AV20">
        <f>SUMPRODUCT(AR$5:AR$85,Interp!$Q$5:$Q$85)</f>
        <v/>
      </c>
      <c r="AW20">
        <f>SUMPRODUCT(AS$5:AS$85,Interp!$Q$5:$Q$85)</f>
        <v/>
      </c>
      <c r="AX20">
        <f>SUMPRODUCT(AT$5:AT$85,Interp!$Q$5:$Q$85)</f>
        <v/>
      </c>
    </row>
    <row r="21">
      <c r="B21">
        <f>COS($B$20)</f>
        <v/>
      </c>
      <c r="C21">
        <f>-SIN($B$20)</f>
        <v/>
      </c>
      <c r="D21">
        <f>0</f>
        <v/>
      </c>
      <c r="AR21">
        <f>$B$3*INDEX(INDEX(Tables!$B$5:$G$85,0,('Custom lights'!$C$5="CIE 1964 10deg")*3+1),17)*INDEX('Custom lights'!$C$8:$C$88,17)</f>
        <v/>
      </c>
      <c r="AS21">
        <f>$B$3*INDEX(INDEX(Tables!$B$5:$G$85,0,('Custom lights'!$C$5="CIE 1964 10deg")*3+2),17)*INDEX('Custom lights'!$C$8:$C$88,17)</f>
        <v/>
      </c>
      <c r="AT21">
        <f>$B$3*INDEX(INDEX(Tables!$B$5:$G$85,0,('Custom lights'!$C$5="CIE 1964 10deg")*3+3),17)*INDEX('Custom lights'!$C$8:$C$88,17)</f>
        <v/>
      </c>
      <c r="AV21">
        <f>SUMPRODUCT(AR$5:AR$85,Interp!$R$5:$R$85)</f>
        <v/>
      </c>
      <c r="AW21">
        <f>SUMPRODUCT(AS$5:AS$85,Interp!$R$5:$R$85)</f>
        <v/>
      </c>
      <c r="AX21">
        <f>SUMPRODUCT(AT$5:AT$85,Interp!$R$5:$R$85)</f>
        <v/>
      </c>
    </row>
    <row r="22">
      <c r="B22">
        <f>SIN($B$20)</f>
        <v/>
      </c>
      <c r="C22">
        <f>COS($B$20)</f>
        <v/>
      </c>
      <c r="D22">
        <f>0</f>
        <v/>
      </c>
      <c r="AR22">
        <f>$B$3*INDEX(INDEX(Tables!$B$5:$G$85,0,('Custom lights'!$C$5="CIE 1964 10deg")*3+1),18)*INDEX('Custom lights'!$C$8:$C$88,18)</f>
        <v/>
      </c>
      <c r="AS22">
        <f>$B$3*INDEX(INDEX(Tables!$B$5:$G$85,0,('Custom lights'!$C$5="CIE 1964 10deg")*3+2),18)*INDEX('Custom lights'!$C$8:$C$88,18)</f>
        <v/>
      </c>
      <c r="AT22">
        <f>$B$3*INDEX(INDEX(Tables!$B$5:$G$85,0,('Custom lights'!$C$5="CIE 1964 10deg")*3+3),18)*INDEX('Custom lights'!$C$8:$C$88,18)</f>
        <v/>
      </c>
      <c r="AV22">
        <f>SUMPRODUCT(AR$5:AR$85,Interp!$S$5:$S$85)</f>
        <v/>
      </c>
      <c r="AW22">
        <f>SUMPRODUCT(AS$5:AS$85,Interp!$S$5:$S$85)</f>
        <v/>
      </c>
      <c r="AX22">
        <f>SUMPRODUCT(AT$5:AT$85,Interp!$S$5:$S$85)</f>
        <v/>
      </c>
    </row>
    <row r="23">
      <c r="B23">
        <f>0</f>
        <v/>
      </c>
      <c r="C23">
        <f>0</f>
        <v/>
      </c>
      <c r="D23">
        <f>1</f>
        <v/>
      </c>
      <c r="AR23">
        <f>$B$3*INDEX(INDEX(Tables!$B$5:$G$85,0,('Custom lights'!$C$5="CIE 1964 10deg")*3+1),19)*INDEX('Custom lights'!$C$8:$C$88,19)</f>
        <v/>
      </c>
      <c r="AS23">
        <f>$B$3*INDEX(INDEX(Tables!$B$5:$G$85,0,('Custom lights'!$C$5="CIE 1964 10deg")*3+2),19)*INDEX('Custom lights'!$C$8:$C$88,19)</f>
        <v/>
      </c>
      <c r="AT23">
        <f>$B$3*INDEX(INDEX(Tables!$B$5:$G$85,0,('Custom lights'!$C$5="CIE 1964 10deg")*3+3),19)*INDEX('Custom lights'!$C$8:$C$88,19)</f>
        <v/>
      </c>
      <c r="AV23">
        <f>SUMPRODUCT(AR$5:AR$85,Interp!$T$5:$T$85)</f>
        <v/>
      </c>
      <c r="AW23">
        <f>SUMPRODUCT(AS$5:AS$85,Interp!$T$5:$T$85)</f>
        <v/>
      </c>
      <c r="AX23">
        <f>SUMPRODUCT(AT$5:AT$85,Interp!$T$5:$T$85)</f>
        <v/>
      </c>
    </row>
    <row r="24">
      <c r="AR24">
        <f>$B$3*INDEX(INDEX(Tables!$B$5:$G$85,0,('Custom lights'!$C$5="CIE 1964 10deg")*3+1),20)*INDEX('Custom lights'!$C$8:$C$88,20)</f>
        <v/>
      </c>
      <c r="AS24">
        <f>$B$3*INDEX(INDEX(Tables!$B$5:$G$85,0,('Custom lights'!$C$5="CIE 1964 10deg")*3+2),20)*INDEX('Custom lights'!$C$8:$C$88,20)</f>
        <v/>
      </c>
      <c r="AT24">
        <f>$B$3*INDEX(INDEX(Tables!$B$5:$G$85,0,('Custom lights'!$C$5="CIE 1964 10deg")*3+3),20)*INDEX('Custom lights'!$C$8:$C$88,20)</f>
        <v/>
      </c>
      <c r="AV24">
        <f>SUMPRODUCT(AR$5:AR$85,Interp!$U$5:$U$85)</f>
        <v/>
      </c>
      <c r="AW24">
        <f>SUMPRODUCT(AS$5:AS$85,Interp!$U$5:$U$85)</f>
        <v/>
      </c>
      <c r="AX24">
        <f>SUMPRODUCT(AT$5:AT$85,Interp!$U$5:$U$85)</f>
        <v/>
      </c>
    </row>
    <row r="25">
      <c r="A25" t="inlineStr">
        <is>
          <t>R = R2 R3</t>
        </is>
      </c>
      <c r="B25">
        <f>$B$21*$B$15+$C$21*$B$16+$D$21*$B$17</f>
        <v/>
      </c>
      <c r="C25">
        <f>$B$21*$C$15+$C$21*$C$16+$D$21*$C$17</f>
        <v/>
      </c>
      <c r="D25">
        <f>$B$21*$D$15+$C$21*$D$16+$D$21*$D$17</f>
        <v/>
      </c>
      <c r="AR25">
        <f>$B$3*INDEX(INDEX(Tables!$B$5:$G$85,0,('Custom lights'!$C$5="CIE 1964 10deg")*3+1),21)*INDEX('Custom lights'!$C$8:$C$88,21)</f>
        <v/>
      </c>
      <c r="AS25">
        <f>$B$3*INDEX(INDEX(Tables!$B$5:$G$85,0,('Custom lights'!$C$5="CIE 1964 10deg")*3+2),21)*INDEX('Custom lights'!$C$8:$C$88,21)</f>
        <v/>
      </c>
      <c r="AT25">
        <f>$B$3*INDEX(INDEX(Tables!$B$5:$G$85,0,('Custom lights'!$C$5="CIE 1964 10deg")*3+3),21)*INDEX('Custom lights'!$C$8:$C$88,21)</f>
        <v/>
      </c>
      <c r="AV25">
        <f>SUMPRODUCT(AR$5:AR$85,Interp!$V$5:$V$85)</f>
        <v/>
      </c>
      <c r="AW25">
        <f>SUMPRODUCT(AS$5:AS$85,Interp!$V$5:$V$85)</f>
        <v/>
      </c>
      <c r="AX25">
        <f>SUMPRODUCT(AT$5:AT$85,Interp!$V$5:$V$85)</f>
        <v/>
      </c>
    </row>
    <row r="26">
      <c r="B26">
        <f>$B$22*$B$15+$C$22*$B$16+$D$22*$B$17</f>
        <v/>
      </c>
      <c r="C26">
        <f>$B$22*$C$15+$C$22*$C$16+$D$22*$C$17</f>
        <v/>
      </c>
      <c r="D26">
        <f>$B$22*$D$15+$C$22*$D$16+$D$22*$D$17</f>
        <v/>
      </c>
      <c r="AR26">
        <f>$B$3*INDEX(INDEX(Tables!$B$5:$G$85,0,('Custom lights'!$C$5="CIE 1964 10deg")*3+1),22)*INDEX('Custom lights'!$C$8:$C$88,22)</f>
        <v/>
      </c>
      <c r="AS26">
        <f>$B$3*INDEX(INDEX(Tables!$B$5:$G$85,0,('Custom lights'!$C$5="CIE 1964 10deg")*3+2),22)*INDEX('Custom lights'!$C$8:$C$88,22)</f>
        <v/>
      </c>
      <c r="AT26">
        <f>$B$3*INDEX(INDEX(Tables!$B$5:$G$85,0,('Custom lights'!$C$5="CIE 1964 10deg")*3+3),22)*INDEX('Custom lights'!$C$8:$C$88,22)</f>
        <v/>
      </c>
      <c r="AV26">
        <f>SUMPRODUCT(AR$5:AR$85,Interp!$W$5:$W$85)</f>
        <v/>
      </c>
      <c r="AW26">
        <f>SUMPRODUCT(AS$5:AS$85,Interp!$W$5:$W$85)</f>
        <v/>
      </c>
      <c r="AX26">
        <f>SUMPRODUCT(AT$5:AT$85,Interp!$W$5:$W$85)</f>
        <v/>
      </c>
    </row>
    <row r="27">
      <c r="B27">
        <f>$B$23*$B$15+$C$23*$B$16+$D$23*$B$17</f>
        <v/>
      </c>
      <c r="C27">
        <f>$B$23*$C$15+$C$23*$C$16+$D$23*$C$17</f>
        <v/>
      </c>
      <c r="D27">
        <f>$B$23*$D$15+$C$23*$D$16+$D$23*$D$17</f>
        <v/>
      </c>
      <c r="AR27">
        <f>$B$3*INDEX(INDEX(Tables!$B$5:$G$85,0,('Custom lights'!$C$5="CIE 1964 10deg")*3+1),23)*INDEX('Custom lights'!$C$8:$C$88,23)</f>
        <v/>
      </c>
      <c r="AS27">
        <f>$B$3*INDEX(INDEX(Tables!$B$5:$G$85,0,('Custom lights'!$C$5="CIE 1964 10deg")*3+2),23)*INDEX('Custom lights'!$C$8:$C$88,23)</f>
        <v/>
      </c>
      <c r="AT27">
        <f>$B$3*INDEX(INDEX(Tables!$B$5:$G$85,0,('Custom lights'!$C$5="CIE 1964 10deg")*3+3),23)*INDEX('Custom lights'!$C$8:$C$88,23)</f>
        <v/>
      </c>
      <c r="AV27">
        <f>SUMPRODUCT(AR$5:AR$85,Interp!$X$5:$X$85)</f>
        <v/>
      </c>
      <c r="AW27">
        <f>SUMPRODUCT(AS$5:AS$85,Interp!$X$5:$X$85)</f>
        <v/>
      </c>
      <c r="AX27">
        <f>SUMPRODUCT(AT$5:AT$85,Interp!$X$5:$X$85)</f>
        <v/>
      </c>
    </row>
    <row r="28">
      <c r="AR28">
        <f>$B$3*INDEX(INDEX(Tables!$B$5:$G$85,0,('Custom lights'!$C$5="CIE 1964 10deg")*3+1),24)*INDEX('Custom lights'!$C$8:$C$88,24)</f>
        <v/>
      </c>
      <c r="AS28">
        <f>$B$3*INDEX(INDEX(Tables!$B$5:$G$85,0,('Custom lights'!$C$5="CIE 1964 10deg")*3+2),24)*INDEX('Custom lights'!$C$8:$C$88,24)</f>
        <v/>
      </c>
      <c r="AT28">
        <f>$B$3*INDEX(INDEX(Tables!$B$5:$G$85,0,('Custom lights'!$C$5="CIE 1964 10deg")*3+3),24)*INDEX('Custom lights'!$C$8:$C$88,24)</f>
        <v/>
      </c>
      <c r="AV28">
        <f>SUMPRODUCT(AR$5:AR$85,Interp!$Y$5:$Y$85)</f>
        <v/>
      </c>
      <c r="AW28">
        <f>SUMPRODUCT(AS$5:AS$85,Interp!$Y$5:$Y$85)</f>
        <v/>
      </c>
      <c r="AX28">
        <f>SUMPRODUCT(AT$5:AT$85,Interp!$Y$5:$Y$85)</f>
        <v/>
      </c>
    </row>
    <row r="29">
      <c r="A29" t="inlineStr">
        <is>
          <t>Step 2. White W</t>
        </is>
      </c>
      <c r="B29">
        <f>$B$25*$B$6+$C$25*$C$6+$D$25*$D$6</f>
        <v/>
      </c>
      <c r="AR29">
        <f>$B$3*INDEX(INDEX(Tables!$B$5:$G$85,0,('Custom lights'!$C$5="CIE 1964 10deg")*3+1),25)*INDEX('Custom lights'!$C$8:$C$88,25)</f>
        <v/>
      </c>
      <c r="AS29">
        <f>$B$3*INDEX(INDEX(Tables!$B$5:$G$85,0,('Custom lights'!$C$5="CIE 1964 10deg")*3+2),25)*INDEX('Custom lights'!$C$8:$C$88,25)</f>
        <v/>
      </c>
      <c r="AT29">
        <f>$B$3*INDEX(INDEX(Tables!$B$5:$G$85,0,('Custom lights'!$C$5="CIE 1964 10deg")*3+3),25)*INDEX('Custom lights'!$C$8:$C$88,25)</f>
        <v/>
      </c>
      <c r="AV29">
        <f>SUMPRODUCT(AR$5:AR$85,Interp!$Z$5:$Z$85)</f>
        <v/>
      </c>
      <c r="AW29">
        <f>SUMPRODUCT(AS$5:AS$85,Interp!$Z$5:$Z$85)</f>
        <v/>
      </c>
      <c r="AX29">
        <f>SUMPRODUCT(AT$5:AT$85,Interp!$Z$5:$Z$85)</f>
        <v/>
      </c>
    </row>
    <row r="30">
      <c r="AR30">
        <f>$B$3*INDEX(INDEX(Tables!$B$5:$G$85,0,('Custom lights'!$C$5="CIE 1964 10deg")*3+1),26)*INDEX('Custom lights'!$C$8:$C$88,26)</f>
        <v/>
      </c>
      <c r="AS30">
        <f>$B$3*INDEX(INDEX(Tables!$B$5:$G$85,0,('Custom lights'!$C$5="CIE 1964 10deg")*3+2),26)*INDEX('Custom lights'!$C$8:$C$88,26)</f>
        <v/>
      </c>
      <c r="AT30">
        <f>$B$3*INDEX(INDEX(Tables!$B$5:$G$85,0,('Custom lights'!$C$5="CIE 1964 10deg")*3+3),26)*INDEX('Custom lights'!$C$8:$C$88,26)</f>
        <v/>
      </c>
      <c r="AV30">
        <f>SUMPRODUCT(AR$5:AR$85,Interp!$AA$5:$AA$85)</f>
        <v/>
      </c>
      <c r="AW30">
        <f>SUMPRODUCT(AS$5:AS$85,Interp!$AA$5:$AA$85)</f>
        <v/>
      </c>
      <c r="AX30">
        <f>SUMPRODUCT(AT$5:AT$85,Interp!$AA$5:$AA$85)</f>
        <v/>
      </c>
    </row>
    <row r="31">
      <c r="A31" t="inlineStr">
        <is>
          <t>M1</t>
        </is>
      </c>
      <c r="B31">
        <f>$B$25*100/$B$29</f>
        <v/>
      </c>
      <c r="C31">
        <f>$C$25*100/$B$29</f>
        <v/>
      </c>
      <c r="D31">
        <f>$D$25*100/$B$29</f>
        <v/>
      </c>
      <c r="AR31">
        <f>$B$3*INDEX(INDEX(Tables!$B$5:$G$85,0,('Custom lights'!$C$5="CIE 1964 10deg")*3+1),27)*INDEX('Custom lights'!$C$8:$C$88,27)</f>
        <v/>
      </c>
      <c r="AS31">
        <f>$B$3*INDEX(INDEX(Tables!$B$5:$G$85,0,('Custom lights'!$C$5="CIE 1964 10deg")*3+2),27)*INDEX('Custom lights'!$C$8:$C$88,27)</f>
        <v/>
      </c>
      <c r="AT31">
        <f>$B$3*INDEX(INDEX(Tables!$B$5:$G$85,0,('Custom lights'!$C$5="CIE 1964 10deg")*3+3),27)*INDEX('Custom lights'!$C$8:$C$88,27)</f>
        <v/>
      </c>
      <c r="AV31">
        <f>SUMPRODUCT(AR$5:AR$85,Interp!$AB$5:$AB$85)</f>
        <v/>
      </c>
      <c r="AW31">
        <f>SUMPRODUCT(AS$5:AS$85,Interp!$AB$5:$AB$85)</f>
        <v/>
      </c>
      <c r="AX31">
        <f>SUMPRODUCT(AT$5:AT$85,Interp!$AB$5:$AB$85)</f>
        <v/>
      </c>
    </row>
    <row r="32">
      <c r="B32">
        <f>$B$26</f>
        <v/>
      </c>
      <c r="C32">
        <f>$C$26</f>
        <v/>
      </c>
      <c r="D32">
        <f>$D$26</f>
        <v/>
      </c>
      <c r="AR32">
        <f>$B$3*INDEX(INDEX(Tables!$B$5:$G$85,0,('Custom lights'!$C$5="CIE 1964 10deg")*3+1),28)*INDEX('Custom lights'!$C$8:$C$88,28)</f>
        <v/>
      </c>
      <c r="AS32">
        <f>$B$3*INDEX(INDEX(Tables!$B$5:$G$85,0,('Custom lights'!$C$5="CIE 1964 10deg")*3+2),28)*INDEX('Custom lights'!$C$8:$C$88,28)</f>
        <v/>
      </c>
      <c r="AT32">
        <f>$B$3*INDEX(INDEX(Tables!$B$5:$G$85,0,('Custom lights'!$C$5="CIE 1964 10deg")*3+3),28)*INDEX('Custom lights'!$C$8:$C$88,28)</f>
        <v/>
      </c>
      <c r="AV32">
        <f>SUMPRODUCT(AR$5:AR$85,Interp!$AC$5:$AC$85)</f>
        <v/>
      </c>
      <c r="AW32">
        <f>SUMPRODUCT(AS$5:AS$85,Interp!$AC$5:$AC$85)</f>
        <v/>
      </c>
      <c r="AX32">
        <f>SUMPRODUCT(AT$5:AT$85,Interp!$AC$5:$AC$85)</f>
        <v/>
      </c>
    </row>
    <row r="33">
      <c r="B33">
        <f>$B$27</f>
        <v/>
      </c>
      <c r="C33">
        <f>$C$27</f>
        <v/>
      </c>
      <c r="D33">
        <f>$D$27</f>
        <v/>
      </c>
      <c r="AR33">
        <f>$B$3*INDEX(INDEX(Tables!$B$5:$G$85,0,('Custom lights'!$C$5="CIE 1964 10deg")*3+1),29)*INDEX('Custom lights'!$C$8:$C$88,29)</f>
        <v/>
      </c>
      <c r="AS33">
        <f>$B$3*INDEX(INDEX(Tables!$B$5:$G$85,0,('Custom lights'!$C$5="CIE 1964 10deg")*3+2),29)*INDEX('Custom lights'!$C$8:$C$88,29)</f>
        <v/>
      </c>
      <c r="AT33">
        <f>$B$3*INDEX(INDEX(Tables!$B$5:$G$85,0,('Custom lights'!$C$5="CIE 1964 10deg")*3+3),29)*INDEX('Custom lights'!$C$8:$C$88,29)</f>
        <v/>
      </c>
      <c r="AV33">
        <f>SUMPRODUCT(AR$5:AR$85,Interp!$AD$5:$AD$85)</f>
        <v/>
      </c>
      <c r="AW33">
        <f>SUMPRODUCT(AS$5:AS$85,Interp!$AD$5:$AD$85)</f>
        <v/>
      </c>
      <c r="AX33">
        <f>SUMPRODUCT(AT$5:AT$85,Interp!$AD$5:$AD$85)</f>
        <v/>
      </c>
    </row>
    <row r="34">
      <c r="AR34">
        <f>$B$3*INDEX(INDEX(Tables!$B$5:$G$85,0,('Custom lights'!$C$5="CIE 1964 10deg")*3+1),30)*INDEX('Custom lights'!$C$8:$C$88,30)</f>
        <v/>
      </c>
      <c r="AS34">
        <f>$B$3*INDEX(INDEX(Tables!$B$5:$G$85,0,('Custom lights'!$C$5="CIE 1964 10deg")*3+2),30)*INDEX('Custom lights'!$C$8:$C$88,30)</f>
        <v/>
      </c>
      <c r="AT34">
        <f>$B$3*INDEX(INDEX(Tables!$B$5:$G$85,0,('Custom lights'!$C$5="CIE 1964 10deg")*3+3),30)*INDEX('Custom lights'!$C$8:$C$88,30)</f>
        <v/>
      </c>
      <c r="AV34">
        <f>SUMPRODUCT(AR$5:AR$85,Interp!$AE$5:$AE$85)</f>
        <v/>
      </c>
      <c r="AW34">
        <f>SUMPRODUCT(AS$5:AS$85,Interp!$AE$5:$AE$85)</f>
        <v/>
      </c>
      <c r="AX34">
        <f>SUMPRODUCT(AT$5:AT$85,Interp!$AE$5:$AE$85)</f>
        <v/>
      </c>
    </row>
    <row r="35">
      <c r="A35" t="inlineStr">
        <is>
          <t>Step 3. M1 times base XYZ (u, v, z in rows 35-37)</t>
        </is>
      </c>
      <c r="C35">
        <f>$B$31*C9+$C$31*C10+$D$31*C11</f>
        <v/>
      </c>
      <c r="D35">
        <f>$B$31*D9+$C$31*D10+$D$31*D11</f>
        <v/>
      </c>
      <c r="E35">
        <f>$B$31*E9+$C$31*E10+$D$31*E11</f>
        <v/>
      </c>
      <c r="F35">
        <f>$B$31*F9+$C$31*F10+$D$31*F11</f>
        <v/>
      </c>
      <c r="G35">
        <f>$B$31*G9+$C$31*G10+$D$31*G11</f>
        <v/>
      </c>
      <c r="H35">
        <f>$B$31*H9+$C$31*H10+$D$31*H11</f>
        <v/>
      </c>
      <c r="I35">
        <f>$B$31*I9+$C$31*I10+$D$31*I11</f>
        <v/>
      </c>
      <c r="J35">
        <f>$B$31*J9+$C$31*J10+$D$31*J11</f>
        <v/>
      </c>
      <c r="K35">
        <f>$B$31*K9+$C$31*K10+$D$31*K11</f>
        <v/>
      </c>
      <c r="L35">
        <f>$B$31*L9+$C$31*L10+$D$31*L11</f>
        <v/>
      </c>
      <c r="M35">
        <f>$B$31*M9+$C$31*M10+$D$31*M11</f>
        <v/>
      </c>
      <c r="N35">
        <f>$B$31*N9+$C$31*N10+$D$31*N11</f>
        <v/>
      </c>
      <c r="O35">
        <f>$B$31*O9+$C$31*O10+$D$31*O11</f>
        <v/>
      </c>
      <c r="P35">
        <f>$B$31*P9+$C$31*P10+$D$31*P11</f>
        <v/>
      </c>
      <c r="Q35">
        <f>$B$31*Q9+$C$31*Q10+$D$31*Q11</f>
        <v/>
      </c>
      <c r="R35">
        <f>$B$31*R9+$C$31*R10+$D$31*R11</f>
        <v/>
      </c>
      <c r="S35">
        <f>$B$31*S9+$C$31*S10+$D$31*S11</f>
        <v/>
      </c>
      <c r="T35">
        <f>$B$31*T9+$C$31*T10+$D$31*T11</f>
        <v/>
      </c>
      <c r="U35">
        <f>$B$31*U9+$C$31*U10+$D$31*U11</f>
        <v/>
      </c>
      <c r="V35">
        <f>$B$31*V9+$C$31*V10+$D$31*V11</f>
        <v/>
      </c>
      <c r="W35">
        <f>$B$31*W9+$C$31*W10+$D$31*W11</f>
        <v/>
      </c>
      <c r="X35">
        <f>$B$31*X9+$C$31*X10+$D$31*X11</f>
        <v/>
      </c>
      <c r="Y35">
        <f>$B$31*Y9+$C$31*Y10+$D$31*Y11</f>
        <v/>
      </c>
      <c r="Z35">
        <f>$B$31*Z9+$C$31*Z10+$D$31*Z11</f>
        <v/>
      </c>
      <c r="AA35">
        <f>$B$31*AA9+$C$31*AA10+$D$31*AA11</f>
        <v/>
      </c>
      <c r="AB35">
        <f>$B$31*AB9+$C$31*AB10+$D$31*AB11</f>
        <v/>
      </c>
      <c r="AC35">
        <f>$B$31*AC9+$C$31*AC10+$D$31*AC11</f>
        <v/>
      </c>
      <c r="AD35">
        <f>$B$31*AD9+$C$31*AD10+$D$31*AD11</f>
        <v/>
      </c>
      <c r="AE35">
        <f>$B$31*AE9+$C$31*AE10+$D$31*AE11</f>
        <v/>
      </c>
      <c r="AF35">
        <f>$B$31*AF9+$C$31*AF10+$D$31*AF11</f>
        <v/>
      </c>
      <c r="AG35">
        <f>$B$31*AG9+$C$31*AG10+$D$31*AG11</f>
        <v/>
      </c>
      <c r="AH35">
        <f>$B$31*AH9+$C$31*AH10+$D$31*AH11</f>
        <v/>
      </c>
      <c r="AI35">
        <f>$B$31*AI9+$C$31*AI10+$D$31*AI11</f>
        <v/>
      </c>
      <c r="AJ35">
        <f>$B$31*AJ9+$C$31*AJ10+$D$31*AJ11</f>
        <v/>
      </c>
      <c r="AK35">
        <f>$B$31*AK9+$C$31*AK10+$D$31*AK11</f>
        <v/>
      </c>
      <c r="AL35">
        <f>$B$31*AL9+$C$31*AL10+$D$31*AL11</f>
        <v/>
      </c>
      <c r="AM35">
        <f>$B$31*AM9+$C$31*AM10+$D$31*AM11</f>
        <v/>
      </c>
      <c r="AN35">
        <f>$B$31*AN9+$C$31*AN10+$D$31*AN11</f>
        <v/>
      </c>
      <c r="AO35">
        <f>$B$31*AO9+$C$31*AO10+$D$31*AO11</f>
        <v/>
      </c>
      <c r="AP35">
        <f>$B$31*AP9+$C$31*AP10+$D$31*AP11</f>
        <v/>
      </c>
      <c r="AR35">
        <f>$B$3*INDEX(INDEX(Tables!$B$5:$G$85,0,('Custom lights'!$C$5="CIE 1964 10deg")*3+1),31)*INDEX('Custom lights'!$C$8:$C$88,31)</f>
        <v/>
      </c>
      <c r="AS35">
        <f>$B$3*INDEX(INDEX(Tables!$B$5:$G$85,0,('Custom lights'!$C$5="CIE 1964 10deg")*3+2),31)*INDEX('Custom lights'!$C$8:$C$88,31)</f>
        <v/>
      </c>
      <c r="AT35">
        <f>$B$3*INDEX(INDEX(Tables!$B$5:$G$85,0,('Custom lights'!$C$5="CIE 1964 10deg")*3+3),31)*INDEX('Custom lights'!$C$8:$C$88,31)</f>
        <v/>
      </c>
      <c r="AV35">
        <f>SUMPRODUCT(AR$5:AR$85,Interp!$AF$5:$AF$85)</f>
        <v/>
      </c>
      <c r="AW35">
        <f>SUMPRODUCT(AS$5:AS$85,Interp!$AF$5:$AF$85)</f>
        <v/>
      </c>
      <c r="AX35">
        <f>SUMPRODUCT(AT$5:AT$85,Interp!$AF$5:$AF$85)</f>
        <v/>
      </c>
    </row>
    <row r="36">
      <c r="C36">
        <f>$B$32*C9+$C$32*C10+$D$32*C11</f>
        <v/>
      </c>
      <c r="D36">
        <f>$B$32*D9+$C$32*D10+$D$32*D11</f>
        <v/>
      </c>
      <c r="E36">
        <f>$B$32*E9+$C$32*E10+$D$32*E11</f>
        <v/>
      </c>
      <c r="F36">
        <f>$B$32*F9+$C$32*F10+$D$32*F11</f>
        <v/>
      </c>
      <c r="G36">
        <f>$B$32*G9+$C$32*G10+$D$32*G11</f>
        <v/>
      </c>
      <c r="H36">
        <f>$B$32*H9+$C$32*H10+$D$32*H11</f>
        <v/>
      </c>
      <c r="I36">
        <f>$B$32*I9+$C$32*I10+$D$32*I11</f>
        <v/>
      </c>
      <c r="J36">
        <f>$B$32*J9+$C$32*J10+$D$32*J11</f>
        <v/>
      </c>
      <c r="K36">
        <f>$B$32*K9+$C$32*K10+$D$32*K11</f>
        <v/>
      </c>
      <c r="L36">
        <f>$B$32*L9+$C$32*L10+$D$32*L11</f>
        <v/>
      </c>
      <c r="M36">
        <f>$B$32*M9+$C$32*M10+$D$32*M11</f>
        <v/>
      </c>
      <c r="N36">
        <f>$B$32*N9+$C$32*N10+$D$32*N11</f>
        <v/>
      </c>
      <c r="O36">
        <f>$B$32*O9+$C$32*O10+$D$32*O11</f>
        <v/>
      </c>
      <c r="P36">
        <f>$B$32*P9+$C$32*P10+$D$32*P11</f>
        <v/>
      </c>
      <c r="Q36">
        <f>$B$32*Q9+$C$32*Q10+$D$32*Q11</f>
        <v/>
      </c>
      <c r="R36">
        <f>$B$32*R9+$C$32*R10+$D$32*R11</f>
        <v/>
      </c>
      <c r="S36">
        <f>$B$32*S9+$C$32*S10+$D$32*S11</f>
        <v/>
      </c>
      <c r="T36">
        <f>$B$32*T9+$C$32*T10+$D$32*T11</f>
        <v/>
      </c>
      <c r="U36">
        <f>$B$32*U9+$C$32*U10+$D$32*U11</f>
        <v/>
      </c>
      <c r="V36">
        <f>$B$32*V9+$C$32*V10+$D$32*V11</f>
        <v/>
      </c>
      <c r="W36">
        <f>$B$32*W9+$C$32*W10+$D$32*W11</f>
        <v/>
      </c>
      <c r="X36">
        <f>$B$32*X9+$C$32*X10+$D$32*X11</f>
        <v/>
      </c>
      <c r="Y36">
        <f>$B$32*Y9+$C$32*Y10+$D$32*Y11</f>
        <v/>
      </c>
      <c r="Z36">
        <f>$B$32*Z9+$C$32*Z10+$D$32*Z11</f>
        <v/>
      </c>
      <c r="AA36">
        <f>$B$32*AA9+$C$32*AA10+$D$32*AA11</f>
        <v/>
      </c>
      <c r="AB36">
        <f>$B$32*AB9+$C$32*AB10+$D$32*AB11</f>
        <v/>
      </c>
      <c r="AC36">
        <f>$B$32*AC9+$C$32*AC10+$D$32*AC11</f>
        <v/>
      </c>
      <c r="AD36">
        <f>$B$32*AD9+$C$32*AD10+$D$32*AD11</f>
        <v/>
      </c>
      <c r="AE36">
        <f>$B$32*AE9+$C$32*AE10+$D$32*AE11</f>
        <v/>
      </c>
      <c r="AF36">
        <f>$B$32*AF9+$C$32*AF10+$D$32*AF11</f>
        <v/>
      </c>
      <c r="AG36">
        <f>$B$32*AG9+$C$32*AG10+$D$32*AG11</f>
        <v/>
      </c>
      <c r="AH36">
        <f>$B$32*AH9+$C$32*AH10+$D$32*AH11</f>
        <v/>
      </c>
      <c r="AI36">
        <f>$B$32*AI9+$C$32*AI10+$D$32*AI11</f>
        <v/>
      </c>
      <c r="AJ36">
        <f>$B$32*AJ9+$C$32*AJ10+$D$32*AJ11</f>
        <v/>
      </c>
      <c r="AK36">
        <f>$B$32*AK9+$C$32*AK10+$D$32*AK11</f>
        <v/>
      </c>
      <c r="AL36">
        <f>$B$32*AL9+$C$32*AL10+$D$32*AL11</f>
        <v/>
      </c>
      <c r="AM36">
        <f>$B$32*AM9+$C$32*AM10+$D$32*AM11</f>
        <v/>
      </c>
      <c r="AN36">
        <f>$B$32*AN9+$C$32*AN10+$D$32*AN11</f>
        <v/>
      </c>
      <c r="AO36">
        <f>$B$32*AO9+$C$32*AO10+$D$32*AO11</f>
        <v/>
      </c>
      <c r="AP36">
        <f>$B$32*AP9+$C$32*AP10+$D$32*AP11</f>
        <v/>
      </c>
      <c r="AR36">
        <f>$B$3*INDEX(INDEX(Tables!$B$5:$G$85,0,('Custom lights'!$C$5="CIE 1964 10deg")*3+1),32)*INDEX('Custom lights'!$C$8:$C$88,32)</f>
        <v/>
      </c>
      <c r="AS36">
        <f>$B$3*INDEX(INDEX(Tables!$B$5:$G$85,0,('Custom lights'!$C$5="CIE 1964 10deg")*3+2),32)*INDEX('Custom lights'!$C$8:$C$88,32)</f>
        <v/>
      </c>
      <c r="AT36">
        <f>$B$3*INDEX(INDEX(Tables!$B$5:$G$85,0,('Custom lights'!$C$5="CIE 1964 10deg")*3+3),32)*INDEX('Custom lights'!$C$8:$C$88,32)</f>
        <v/>
      </c>
      <c r="AV36">
        <f>SUMPRODUCT(AR$5:AR$85,Interp!$AG$5:$AG$85)</f>
        <v/>
      </c>
      <c r="AW36">
        <f>SUMPRODUCT(AS$5:AS$85,Interp!$AG$5:$AG$85)</f>
        <v/>
      </c>
      <c r="AX36">
        <f>SUMPRODUCT(AT$5:AT$85,Interp!$AG$5:$AG$85)</f>
        <v/>
      </c>
    </row>
    <row r="37">
      <c r="C37">
        <f>$B$33*C9+$C$33*C10+$D$33*C11</f>
        <v/>
      </c>
      <c r="D37">
        <f>$B$33*D9+$C$33*D10+$D$33*D11</f>
        <v/>
      </c>
      <c r="E37">
        <f>$B$33*E9+$C$33*E10+$D$33*E11</f>
        <v/>
      </c>
      <c r="F37">
        <f>$B$33*F9+$C$33*F10+$D$33*F11</f>
        <v/>
      </c>
      <c r="G37">
        <f>$B$33*G9+$C$33*G10+$D$33*G11</f>
        <v/>
      </c>
      <c r="H37">
        <f>$B$33*H9+$C$33*H10+$D$33*H11</f>
        <v/>
      </c>
      <c r="I37">
        <f>$B$33*I9+$C$33*I10+$D$33*I11</f>
        <v/>
      </c>
      <c r="J37">
        <f>$B$33*J9+$C$33*J10+$D$33*J11</f>
        <v/>
      </c>
      <c r="K37">
        <f>$B$33*K9+$C$33*K10+$D$33*K11</f>
        <v/>
      </c>
      <c r="L37">
        <f>$B$33*L9+$C$33*L10+$D$33*L11</f>
        <v/>
      </c>
      <c r="M37">
        <f>$B$33*M9+$C$33*M10+$D$33*M11</f>
        <v/>
      </c>
      <c r="N37">
        <f>$B$33*N9+$C$33*N10+$D$33*N11</f>
        <v/>
      </c>
      <c r="O37">
        <f>$B$33*O9+$C$33*O10+$D$33*O11</f>
        <v/>
      </c>
      <c r="P37">
        <f>$B$33*P9+$C$33*P10+$D$33*P11</f>
        <v/>
      </c>
      <c r="Q37">
        <f>$B$33*Q9+$C$33*Q10+$D$33*Q11</f>
        <v/>
      </c>
      <c r="R37">
        <f>$B$33*R9+$C$33*R10+$D$33*R11</f>
        <v/>
      </c>
      <c r="S37">
        <f>$B$33*S9+$C$33*S10+$D$33*S11</f>
        <v/>
      </c>
      <c r="T37">
        <f>$B$33*T9+$C$33*T10+$D$33*T11</f>
        <v/>
      </c>
      <c r="U37">
        <f>$B$33*U9+$C$33*U10+$D$33*U11</f>
        <v/>
      </c>
      <c r="V37">
        <f>$B$33*V9+$C$33*V10+$D$33*V11</f>
        <v/>
      </c>
      <c r="W37">
        <f>$B$33*W9+$C$33*W10+$D$33*W11</f>
        <v/>
      </c>
      <c r="X37">
        <f>$B$33*X9+$C$33*X10+$D$33*X11</f>
        <v/>
      </c>
      <c r="Y37">
        <f>$B$33*Y9+$C$33*Y10+$D$33*Y11</f>
        <v/>
      </c>
      <c r="Z37">
        <f>$B$33*Z9+$C$33*Z10+$D$33*Z11</f>
        <v/>
      </c>
      <c r="AA37">
        <f>$B$33*AA9+$C$33*AA10+$D$33*AA11</f>
        <v/>
      </c>
      <c r="AB37">
        <f>$B$33*AB9+$C$33*AB10+$D$33*AB11</f>
        <v/>
      </c>
      <c r="AC37">
        <f>$B$33*AC9+$C$33*AC10+$D$33*AC11</f>
        <v/>
      </c>
      <c r="AD37">
        <f>$B$33*AD9+$C$33*AD10+$D$33*AD11</f>
        <v/>
      </c>
      <c r="AE37">
        <f>$B$33*AE9+$C$33*AE10+$D$33*AE11</f>
        <v/>
      </c>
      <c r="AF37">
        <f>$B$33*AF9+$C$33*AF10+$D$33*AF11</f>
        <v/>
      </c>
      <c r="AG37">
        <f>$B$33*AG9+$C$33*AG10+$D$33*AG11</f>
        <v/>
      </c>
      <c r="AH37">
        <f>$B$33*AH9+$C$33*AH10+$D$33*AH11</f>
        <v/>
      </c>
      <c r="AI37">
        <f>$B$33*AI9+$C$33*AI10+$D$33*AI11</f>
        <v/>
      </c>
      <c r="AJ37">
        <f>$B$33*AJ9+$C$33*AJ10+$D$33*AJ11</f>
        <v/>
      </c>
      <c r="AK37">
        <f>$B$33*AK9+$C$33*AK10+$D$33*AK11</f>
        <v/>
      </c>
      <c r="AL37">
        <f>$B$33*AL9+$C$33*AL10+$D$33*AL11</f>
        <v/>
      </c>
      <c r="AM37">
        <f>$B$33*AM9+$C$33*AM10+$D$33*AM11</f>
        <v/>
      </c>
      <c r="AN37">
        <f>$B$33*AN9+$C$33*AN10+$D$33*AN11</f>
        <v/>
      </c>
      <c r="AO37">
        <f>$B$33*AO9+$C$33*AO10+$D$33*AO11</f>
        <v/>
      </c>
      <c r="AP37">
        <f>$B$33*AP9+$C$33*AP10+$D$33*AP11</f>
        <v/>
      </c>
      <c r="AR37">
        <f>$B$3*INDEX(INDEX(Tables!$B$5:$G$85,0,('Custom lights'!$C$5="CIE 1964 10deg")*3+1),33)*INDEX('Custom lights'!$C$8:$C$88,33)</f>
        <v/>
      </c>
      <c r="AS37">
        <f>$B$3*INDEX(INDEX(Tables!$B$5:$G$85,0,('Custom lights'!$C$5="CIE 1964 10deg")*3+2),33)*INDEX('Custom lights'!$C$8:$C$88,33)</f>
        <v/>
      </c>
      <c r="AT37">
        <f>$B$3*INDEX(INDEX(Tables!$B$5:$G$85,0,('Custom lights'!$C$5="CIE 1964 10deg")*3+3),33)*INDEX('Custom lights'!$C$8:$C$88,33)</f>
        <v/>
      </c>
      <c r="AV37">
        <f>SUMPRODUCT(AR$5:AR$85,Interp!$AH$5:$AH$85)</f>
        <v/>
      </c>
      <c r="AW37">
        <f>SUMPRODUCT(AS$5:AS$85,Interp!$AH$5:$AH$85)</f>
        <v/>
      </c>
      <c r="AX37">
        <f>SUMPRODUCT(AT$5:AT$85,Interp!$AH$5:$AH$85)</f>
        <v/>
      </c>
    </row>
    <row r="38">
      <c r="AR38">
        <f>$B$3*INDEX(INDEX(Tables!$B$5:$G$85,0,('Custom lights'!$C$5="CIE 1964 10deg")*3+1),34)*INDEX('Custom lights'!$C$8:$C$88,34)</f>
        <v/>
      </c>
      <c r="AS38">
        <f>$B$3*INDEX(INDEX(Tables!$B$5:$G$85,0,('Custom lights'!$C$5="CIE 1964 10deg")*3+2),34)*INDEX('Custom lights'!$C$8:$C$88,34)</f>
        <v/>
      </c>
      <c r="AT38">
        <f>$B$3*INDEX(INDEX(Tables!$B$5:$G$85,0,('Custom lights'!$C$5="CIE 1964 10deg")*3+3),34)*INDEX('Custom lights'!$C$8:$C$88,34)</f>
        <v/>
      </c>
      <c r="AV38">
        <f>SUMPRODUCT(AR$5:AR$85,Interp!$AI$5:$AI$85)</f>
        <v/>
      </c>
      <c r="AW38">
        <f>SUMPRODUCT(AS$5:AS$85,Interp!$AI$5:$AI$85)</f>
        <v/>
      </c>
      <c r="AX38">
        <f>SUMPRODUCT(AT$5:AT$85,Interp!$AI$5:$AI$85)</f>
        <v/>
      </c>
    </row>
    <row r="39">
      <c r="B39" t="inlineStr">
        <is>
          <t>Svv</t>
        </is>
      </c>
      <c r="C39" t="inlineStr">
        <is>
          <t>Svz</t>
        </is>
      </c>
      <c r="D39" t="inlineStr">
        <is>
          <t>Sv</t>
        </is>
      </c>
      <c r="E39" t="inlineStr">
        <is>
          <t>Szz</t>
        </is>
      </c>
      <c r="F39" t="inlineStr">
        <is>
          <t>Sz</t>
        </is>
      </c>
      <c r="G39" t="inlineStr">
        <is>
          <t>n</t>
        </is>
      </c>
      <c r="H39" t="inlineStr">
        <is>
          <t>Suv</t>
        </is>
      </c>
      <c r="I39" t="inlineStr">
        <is>
          <t>Suz</t>
        </is>
      </c>
      <c r="J39" t="inlineStr">
        <is>
          <t>Su</t>
        </is>
      </c>
      <c r="AR39">
        <f>$B$3*INDEX(INDEX(Tables!$B$5:$G$85,0,('Custom lights'!$C$5="CIE 1964 10deg")*3+1),35)*INDEX('Custom lights'!$C$8:$C$88,35)</f>
        <v/>
      </c>
      <c r="AS39">
        <f>$B$3*INDEX(INDEX(Tables!$B$5:$G$85,0,('Custom lights'!$C$5="CIE 1964 10deg")*3+2),35)*INDEX('Custom lights'!$C$8:$C$88,35)</f>
        <v/>
      </c>
      <c r="AT39">
        <f>$B$3*INDEX(INDEX(Tables!$B$5:$G$85,0,('Custom lights'!$C$5="CIE 1964 10deg")*3+3),35)*INDEX('Custom lights'!$C$8:$C$88,35)</f>
        <v/>
      </c>
      <c r="AV39">
        <f>SUMPRODUCT(AR$5:AR$85,Interp!$AJ$5:$AJ$85)</f>
        <v/>
      </c>
      <c r="AW39">
        <f>SUMPRODUCT(AS$5:AS$85,Interp!$AJ$5:$AJ$85)</f>
        <v/>
      </c>
      <c r="AX39">
        <f>SUMPRODUCT(AT$5:AT$85,Interp!$AJ$5:$AJ$85)</f>
        <v/>
      </c>
    </row>
    <row r="40">
      <c r="B40">
        <f>SUMPRODUCT($C$36:$AP$36,$C$36:$AP$36)</f>
        <v/>
      </c>
      <c r="C40">
        <f>SUMPRODUCT($C$36:$AP$36,$C$37:$AP$37)</f>
        <v/>
      </c>
      <c r="D40">
        <f>SUM($C$36:$AP$36)</f>
        <v/>
      </c>
      <c r="E40">
        <f>SUMPRODUCT($C$37:$AP$37,$C$37:$AP$37)</f>
        <v/>
      </c>
      <c r="F40">
        <f>SUM($C$37:$AP$37)</f>
        <v/>
      </c>
      <c r="G40">
        <f>COUNT($C$35:$AP$35)</f>
        <v/>
      </c>
      <c r="H40">
        <f>SUMPRODUCT($C$35:$AP$35,$C$36:$AP$36)</f>
        <v/>
      </c>
      <c r="I40">
        <f>SUMPRODUCT($C$35:$AP$35,$C$37:$AP$37)</f>
        <v/>
      </c>
      <c r="J40">
        <f>SUM($C$35:$AP$35)</f>
        <v/>
      </c>
      <c r="AR40">
        <f>$B$3*INDEX(INDEX(Tables!$B$5:$G$85,0,('Custom lights'!$C$5="CIE 1964 10deg")*3+1),36)*INDEX('Custom lights'!$C$8:$C$88,36)</f>
        <v/>
      </c>
      <c r="AS40">
        <f>$B$3*INDEX(INDEX(Tables!$B$5:$G$85,0,('Custom lights'!$C$5="CIE 1964 10deg")*3+2),36)*INDEX('Custom lights'!$C$8:$C$88,36)</f>
        <v/>
      </c>
      <c r="AT40">
        <f>$B$3*INDEX(INDEX(Tables!$B$5:$G$85,0,('Custom lights'!$C$5="CIE 1964 10deg")*3+3),36)*INDEX('Custom lights'!$C$8:$C$88,36)</f>
        <v/>
      </c>
      <c r="AV40">
        <f>SUMPRODUCT(AR$5:AR$85,Interp!$AK$5:$AK$85)</f>
        <v/>
      </c>
      <c r="AW40">
        <f>SUMPRODUCT(AS$5:AS$85,Interp!$AK$5:$AK$85)</f>
        <v/>
      </c>
      <c r="AX40">
        <f>SUMPRODUCT(AT$5:AT$85,Interp!$AK$5:$AK$85)</f>
        <v/>
      </c>
    </row>
    <row r="41">
      <c r="AR41">
        <f>$B$3*INDEX(INDEX(Tables!$B$5:$G$85,0,('Custom lights'!$C$5="CIE 1964 10deg")*3+1),37)*INDEX('Custom lights'!$C$8:$C$88,37)</f>
        <v/>
      </c>
      <c r="AS41">
        <f>$B$3*INDEX(INDEX(Tables!$B$5:$G$85,0,('Custom lights'!$C$5="CIE 1964 10deg")*3+2),37)*INDEX('Custom lights'!$C$8:$C$88,37)</f>
        <v/>
      </c>
      <c r="AT41">
        <f>$B$3*INDEX(INDEX(Tables!$B$5:$G$85,0,('Custom lights'!$C$5="CIE 1964 10deg")*3+3),37)*INDEX('Custom lights'!$C$8:$C$88,37)</f>
        <v/>
      </c>
    </row>
    <row r="42">
      <c r="A42" t="inlineStr">
        <is>
          <t>det</t>
        </is>
      </c>
      <c r="B42">
        <f>($B$40*($E$40*$G$40-$F$40*$F$40)-$C$40*($C$40*$G$40-$F$40*$D$40)+$D$40*($C$40*$F$40-$E$40*$D$40))</f>
        <v/>
      </c>
      <c r="AR42">
        <f>$B$3*INDEX(INDEX(Tables!$B$5:$G$85,0,('Custom lights'!$C$5="CIE 1964 10deg")*3+1),38)*INDEX('Custom lights'!$C$8:$C$88,38)</f>
        <v/>
      </c>
      <c r="AS42">
        <f>$B$3*INDEX(INDEX(Tables!$B$5:$G$85,0,('Custom lights'!$C$5="CIE 1964 10deg")*3+2),38)*INDEX('Custom lights'!$C$8:$C$88,38)</f>
        <v/>
      </c>
      <c r="AT42">
        <f>$B$3*INDEX(INDEX(Tables!$B$5:$G$85,0,('Custom lights'!$C$5="CIE 1964 10deg")*3+3),38)*INDEX('Custom lights'!$C$8:$C$88,38)</f>
        <v/>
      </c>
    </row>
    <row r="43">
      <c r="A43" t="inlineStr">
        <is>
          <t>alpha1, alpha2, alpha0</t>
        </is>
      </c>
      <c r="B43">
        <f>($H$40*($E$40*$G$40-$F$40*$F$40)-$C$40*($I$40*$G$40-$F$40*$J$40)+$D$40*($I$40*$F$40-$E$40*$J$40))/$B$42</f>
        <v/>
      </c>
      <c r="C43">
        <f>($B$40*($I$40*$G$40-$F$40*$J$40)-$H$40*($C$40*$G$40-$F$40*$D$40)+$D$40*($C$40*$J$40-$I$40*$D$40))/$B$42</f>
        <v/>
      </c>
      <c r="D43">
        <f>($B$40*($E$40*$J$40-$I$40*$F$40)-$C$40*($C$40*$J$40-$I$40*$D$40)+$H$40*($C$40*$F$40-$E$40*$D$40))/$B$42</f>
        <v/>
      </c>
      <c r="AR43">
        <f>$B$3*INDEX(INDEX(Tables!$B$5:$G$85,0,('Custom lights'!$C$5="CIE 1964 10deg")*3+1),39)*INDEX('Custom lights'!$C$8:$C$88,39)</f>
        <v/>
      </c>
      <c r="AS43">
        <f>$B$3*INDEX(INDEX(Tables!$B$5:$G$85,0,('Custom lights'!$C$5="CIE 1964 10deg")*3+2),39)*INDEX('Custom lights'!$C$8:$C$88,39)</f>
        <v/>
      </c>
      <c r="AT43">
        <f>$B$3*INDEX(INDEX(Tables!$B$5:$G$85,0,('Custom lights'!$C$5="CIE 1964 10deg")*3+3),39)*INDEX('Custom lights'!$C$8:$C$88,39)</f>
        <v/>
      </c>
    </row>
    <row r="44">
      <c r="AR44">
        <f>$B$3*INDEX(INDEX(Tables!$B$5:$G$85,0,('Custom lights'!$C$5="CIE 1964 10deg")*3+1),40)*INDEX('Custom lights'!$C$8:$C$88,40)</f>
        <v/>
      </c>
      <c r="AS44">
        <f>$B$3*INDEX(INDEX(Tables!$B$5:$G$85,0,('Custom lights'!$C$5="CIE 1964 10deg")*3+2),40)*INDEX('Custom lights'!$C$8:$C$88,40)</f>
        <v/>
      </c>
      <c r="AT44">
        <f>$B$3*INDEX(INDEX(Tables!$B$5:$G$85,0,('Custom lights'!$C$5="CIE 1964 10deg")*3+3),40)*INDEX('Custom lights'!$C$8:$C$88,40)</f>
        <v/>
      </c>
    </row>
    <row r="45">
      <c r="A45" t="inlineStr">
        <is>
          <t>M2 (leveled)</t>
        </is>
      </c>
      <c r="B45">
        <f>$B$31-$B$43*$B$32-$C$43*$B$33</f>
        <v/>
      </c>
      <c r="C45">
        <f>$C$31-$B$43*$C$32-$C$43*$C$33</f>
        <v/>
      </c>
      <c r="D45">
        <f>$D$31-$B$43*$D$32-$C$43*$D$33</f>
        <v/>
      </c>
      <c r="AR45">
        <f>$B$3*INDEX(INDEX(Tables!$B$5:$G$85,0,('Custom lights'!$C$5="CIE 1964 10deg")*3+1),41)*INDEX('Custom lights'!$C$8:$C$88,41)</f>
        <v/>
      </c>
      <c r="AS45">
        <f>$B$3*INDEX(INDEX(Tables!$B$5:$G$85,0,('Custom lights'!$C$5="CIE 1964 10deg")*3+2),41)*INDEX('Custom lights'!$C$8:$C$88,41)</f>
        <v/>
      </c>
      <c r="AT45">
        <f>$B$3*INDEX(INDEX(Tables!$B$5:$G$85,0,('Custom lights'!$C$5="CIE 1964 10deg")*3+3),41)*INDEX('Custom lights'!$C$8:$C$88,41)</f>
        <v/>
      </c>
    </row>
    <row r="46">
      <c r="B46">
        <f>$B$32</f>
        <v/>
      </c>
      <c r="C46">
        <f>$C$32</f>
        <v/>
      </c>
      <c r="D46">
        <f>$D$32</f>
        <v/>
      </c>
      <c r="AR46">
        <f>$B$3*INDEX(INDEX(Tables!$B$5:$G$85,0,('Custom lights'!$C$5="CIE 1964 10deg")*3+1),42)*INDEX('Custom lights'!$C$8:$C$88,42)</f>
        <v/>
      </c>
      <c r="AS46">
        <f>$B$3*INDEX(INDEX(Tables!$B$5:$G$85,0,('Custom lights'!$C$5="CIE 1964 10deg")*3+2),42)*INDEX('Custom lights'!$C$8:$C$88,42)</f>
        <v/>
      </c>
      <c r="AT46">
        <f>$B$3*INDEX(INDEX(Tables!$B$5:$G$85,0,('Custom lights'!$C$5="CIE 1964 10deg")*3+3),42)*INDEX('Custom lights'!$C$8:$C$88,42)</f>
        <v/>
      </c>
    </row>
    <row r="47">
      <c r="B47">
        <f>$B$33</f>
        <v/>
      </c>
      <c r="C47">
        <f>$C$33</f>
        <v/>
      </c>
      <c r="D47">
        <f>$D$33</f>
        <v/>
      </c>
      <c r="AR47">
        <f>$B$3*INDEX(INDEX(Tables!$B$5:$G$85,0,('Custom lights'!$C$5="CIE 1964 10deg")*3+1),43)*INDEX('Custom lights'!$C$8:$C$88,43)</f>
        <v/>
      </c>
      <c r="AS47">
        <f>$B$3*INDEX(INDEX(Tables!$B$5:$G$85,0,('Custom lights'!$C$5="CIE 1964 10deg")*3+2),43)*INDEX('Custom lights'!$C$8:$C$88,43)</f>
        <v/>
      </c>
      <c r="AT47">
        <f>$B$3*INDEX(INDEX(Tables!$B$5:$G$85,0,('Custom lights'!$C$5="CIE 1964 10deg")*3+3),43)*INDEX('Custom lights'!$C$8:$C$88,43)</f>
        <v/>
      </c>
    </row>
    <row r="48">
      <c r="AR48">
        <f>$B$3*INDEX(INDEX(Tables!$B$5:$G$85,0,('Custom lights'!$C$5="CIE 1964 10deg")*3+1),44)*INDEX('Custom lights'!$C$8:$C$88,44)</f>
        <v/>
      </c>
      <c r="AS48">
        <f>$B$3*INDEX(INDEX(Tables!$B$5:$G$85,0,('Custom lights'!$C$5="CIE 1964 10deg")*3+2),44)*INDEX('Custom lights'!$C$8:$C$88,44)</f>
        <v/>
      </c>
      <c r="AT48">
        <f>$B$3*INDEX(INDEX(Tables!$B$5:$G$85,0,('Custom lights'!$C$5="CIE 1964 10deg")*3+3),44)*INDEX('Custom lights'!$C$8:$C$88,44)</f>
        <v/>
      </c>
    </row>
    <row r="49">
      <c r="A49" t="inlineStr">
        <is>
          <t>Step 4. q = rows 2-3 of M2 times base XYZ (rows 49-50)</t>
        </is>
      </c>
      <c r="C49">
        <f>$B$46*C9+$C$46*C10+$D$46*C11</f>
        <v/>
      </c>
      <c r="D49">
        <f>$B$46*D9+$C$46*D10+$D$46*D11</f>
        <v/>
      </c>
      <c r="E49">
        <f>$B$46*E9+$C$46*E10+$D$46*E11</f>
        <v/>
      </c>
      <c r="F49">
        <f>$B$46*F9+$C$46*F10+$D$46*F11</f>
        <v/>
      </c>
      <c r="G49">
        <f>$B$46*G9+$C$46*G10+$D$46*G11</f>
        <v/>
      </c>
      <c r="H49">
        <f>$B$46*H9+$C$46*H10+$D$46*H11</f>
        <v/>
      </c>
      <c r="I49">
        <f>$B$46*I9+$C$46*I10+$D$46*I11</f>
        <v/>
      </c>
      <c r="J49">
        <f>$B$46*J9+$C$46*J10+$D$46*J11</f>
        <v/>
      </c>
      <c r="K49">
        <f>$B$46*K9+$C$46*K10+$D$46*K11</f>
        <v/>
      </c>
      <c r="L49">
        <f>$B$46*L9+$C$46*L10+$D$46*L11</f>
        <v/>
      </c>
      <c r="M49">
        <f>$B$46*M9+$C$46*M10+$D$46*M11</f>
        <v/>
      </c>
      <c r="N49">
        <f>$B$46*N9+$C$46*N10+$D$46*N11</f>
        <v/>
      </c>
      <c r="O49">
        <f>$B$46*O9+$C$46*O10+$D$46*O11</f>
        <v/>
      </c>
      <c r="P49">
        <f>$B$46*P9+$C$46*P10+$D$46*P11</f>
        <v/>
      </c>
      <c r="Q49">
        <f>$B$46*Q9+$C$46*Q10+$D$46*Q11</f>
        <v/>
      </c>
      <c r="R49">
        <f>$B$46*R9+$C$46*R10+$D$46*R11</f>
        <v/>
      </c>
      <c r="S49">
        <f>$B$46*S9+$C$46*S10+$D$46*S11</f>
        <v/>
      </c>
      <c r="T49">
        <f>$B$46*T9+$C$46*T10+$D$46*T11</f>
        <v/>
      </c>
      <c r="U49">
        <f>$B$46*U9+$C$46*U10+$D$46*U11</f>
        <v/>
      </c>
      <c r="V49">
        <f>$B$46*V9+$C$46*V10+$D$46*V11</f>
        <v/>
      </c>
      <c r="W49">
        <f>$B$46*W9+$C$46*W10+$D$46*W11</f>
        <v/>
      </c>
      <c r="X49">
        <f>$B$46*X9+$C$46*X10+$D$46*X11</f>
        <v/>
      </c>
      <c r="Y49">
        <f>$B$46*Y9+$C$46*Y10+$D$46*Y11</f>
        <v/>
      </c>
      <c r="Z49">
        <f>$B$46*Z9+$C$46*Z10+$D$46*Z11</f>
        <v/>
      </c>
      <c r="AA49">
        <f>$B$46*AA9+$C$46*AA10+$D$46*AA11</f>
        <v/>
      </c>
      <c r="AB49">
        <f>$B$46*AB9+$C$46*AB10+$D$46*AB11</f>
        <v/>
      </c>
      <c r="AC49">
        <f>$B$46*AC9+$C$46*AC10+$D$46*AC11</f>
        <v/>
      </c>
      <c r="AD49">
        <f>$B$46*AD9+$C$46*AD10+$D$46*AD11</f>
        <v/>
      </c>
      <c r="AE49">
        <f>$B$46*AE9+$C$46*AE10+$D$46*AE11</f>
        <v/>
      </c>
      <c r="AF49">
        <f>$B$46*AF9+$C$46*AF10+$D$46*AF11</f>
        <v/>
      </c>
      <c r="AG49">
        <f>$B$46*AG9+$C$46*AG10+$D$46*AG11</f>
        <v/>
      </c>
      <c r="AH49">
        <f>$B$46*AH9+$C$46*AH10+$D$46*AH11</f>
        <v/>
      </c>
      <c r="AI49">
        <f>$B$46*AI9+$C$46*AI10+$D$46*AI11</f>
        <v/>
      </c>
      <c r="AJ49">
        <f>$B$46*AJ9+$C$46*AJ10+$D$46*AJ11</f>
        <v/>
      </c>
      <c r="AK49">
        <f>$B$46*AK9+$C$46*AK10+$D$46*AK11</f>
        <v/>
      </c>
      <c r="AL49">
        <f>$B$46*AL9+$C$46*AL10+$D$46*AL11</f>
        <v/>
      </c>
      <c r="AM49">
        <f>$B$46*AM9+$C$46*AM10+$D$46*AM11</f>
        <v/>
      </c>
      <c r="AN49">
        <f>$B$46*AN9+$C$46*AN10+$D$46*AN11</f>
        <v/>
      </c>
      <c r="AO49">
        <f>$B$46*AO9+$C$46*AO10+$D$46*AO11</f>
        <v/>
      </c>
      <c r="AP49">
        <f>$B$46*AP9+$C$46*AP10+$D$46*AP11</f>
        <v/>
      </c>
      <c r="AR49">
        <f>$B$3*INDEX(INDEX(Tables!$B$5:$G$85,0,('Custom lights'!$C$5="CIE 1964 10deg")*3+1),45)*INDEX('Custom lights'!$C$8:$C$88,45)</f>
        <v/>
      </c>
      <c r="AS49">
        <f>$B$3*INDEX(INDEX(Tables!$B$5:$G$85,0,('Custom lights'!$C$5="CIE 1964 10deg")*3+2),45)*INDEX('Custom lights'!$C$8:$C$88,45)</f>
        <v/>
      </c>
      <c r="AT49">
        <f>$B$3*INDEX(INDEX(Tables!$B$5:$G$85,0,('Custom lights'!$C$5="CIE 1964 10deg")*3+3),45)*INDEX('Custom lights'!$C$8:$C$88,45)</f>
        <v/>
      </c>
    </row>
    <row r="50">
      <c r="C50">
        <f>$B$47*C9+$C$47*C10+$D$47*C11</f>
        <v/>
      </c>
      <c r="D50">
        <f>$B$47*D9+$C$47*D10+$D$47*D11</f>
        <v/>
      </c>
      <c r="E50">
        <f>$B$47*E9+$C$47*E10+$D$47*E11</f>
        <v/>
      </c>
      <c r="F50">
        <f>$B$47*F9+$C$47*F10+$D$47*F11</f>
        <v/>
      </c>
      <c r="G50">
        <f>$B$47*G9+$C$47*G10+$D$47*G11</f>
        <v/>
      </c>
      <c r="H50">
        <f>$B$47*H9+$C$47*H10+$D$47*H11</f>
        <v/>
      </c>
      <c r="I50">
        <f>$B$47*I9+$C$47*I10+$D$47*I11</f>
        <v/>
      </c>
      <c r="J50">
        <f>$B$47*J9+$C$47*J10+$D$47*J11</f>
        <v/>
      </c>
      <c r="K50">
        <f>$B$47*K9+$C$47*K10+$D$47*K11</f>
        <v/>
      </c>
      <c r="L50">
        <f>$B$47*L9+$C$47*L10+$D$47*L11</f>
        <v/>
      </c>
      <c r="M50">
        <f>$B$47*M9+$C$47*M10+$D$47*M11</f>
        <v/>
      </c>
      <c r="N50">
        <f>$B$47*N9+$C$47*N10+$D$47*N11</f>
        <v/>
      </c>
      <c r="O50">
        <f>$B$47*O9+$C$47*O10+$D$47*O11</f>
        <v/>
      </c>
      <c r="P50">
        <f>$B$47*P9+$C$47*P10+$D$47*P11</f>
        <v/>
      </c>
      <c r="Q50">
        <f>$B$47*Q9+$C$47*Q10+$D$47*Q11</f>
        <v/>
      </c>
      <c r="R50">
        <f>$B$47*R9+$C$47*R10+$D$47*R11</f>
        <v/>
      </c>
      <c r="S50">
        <f>$B$47*S9+$C$47*S10+$D$47*S11</f>
        <v/>
      </c>
      <c r="T50">
        <f>$B$47*T9+$C$47*T10+$D$47*T11</f>
        <v/>
      </c>
      <c r="U50">
        <f>$B$47*U9+$C$47*U10+$D$47*U11</f>
        <v/>
      </c>
      <c r="V50">
        <f>$B$47*V9+$C$47*V10+$D$47*V11</f>
        <v/>
      </c>
      <c r="W50">
        <f>$B$47*W9+$C$47*W10+$D$47*W11</f>
        <v/>
      </c>
      <c r="X50">
        <f>$B$47*X9+$C$47*X10+$D$47*X11</f>
        <v/>
      </c>
      <c r="Y50">
        <f>$B$47*Y9+$C$47*Y10+$D$47*Y11</f>
        <v/>
      </c>
      <c r="Z50">
        <f>$B$47*Z9+$C$47*Z10+$D$47*Z11</f>
        <v/>
      </c>
      <c r="AA50">
        <f>$B$47*AA9+$C$47*AA10+$D$47*AA11</f>
        <v/>
      </c>
      <c r="AB50">
        <f>$B$47*AB9+$C$47*AB10+$D$47*AB11</f>
        <v/>
      </c>
      <c r="AC50">
        <f>$B$47*AC9+$C$47*AC10+$D$47*AC11</f>
        <v/>
      </c>
      <c r="AD50">
        <f>$B$47*AD9+$C$47*AD10+$D$47*AD11</f>
        <v/>
      </c>
      <c r="AE50">
        <f>$B$47*AE9+$C$47*AE10+$D$47*AE11</f>
        <v/>
      </c>
      <c r="AF50">
        <f>$B$47*AF9+$C$47*AF10+$D$47*AF11</f>
        <v/>
      </c>
      <c r="AG50">
        <f>$B$47*AG9+$C$47*AG10+$D$47*AG11</f>
        <v/>
      </c>
      <c r="AH50">
        <f>$B$47*AH9+$C$47*AH10+$D$47*AH11</f>
        <v/>
      </c>
      <c r="AI50">
        <f>$B$47*AI9+$C$47*AI10+$D$47*AI11</f>
        <v/>
      </c>
      <c r="AJ50">
        <f>$B$47*AJ9+$C$47*AJ10+$D$47*AJ11</f>
        <v/>
      </c>
      <c r="AK50">
        <f>$B$47*AK9+$C$47*AK10+$D$47*AK11</f>
        <v/>
      </c>
      <c r="AL50">
        <f>$B$47*AL9+$C$47*AL10+$D$47*AL11</f>
        <v/>
      </c>
      <c r="AM50">
        <f>$B$47*AM9+$C$47*AM10+$D$47*AM11</f>
        <v/>
      </c>
      <c r="AN50">
        <f>$B$47*AN9+$C$47*AN10+$D$47*AN11</f>
        <v/>
      </c>
      <c r="AO50">
        <f>$B$47*AO9+$C$47*AO10+$D$47*AO11</f>
        <v/>
      </c>
      <c r="AP50">
        <f>$B$47*AP9+$C$47*AP10+$D$47*AP11</f>
        <v/>
      </c>
      <c r="AR50">
        <f>$B$3*INDEX(INDEX(Tables!$B$5:$G$85,0,('Custom lights'!$C$5="CIE 1964 10deg")*3+1),46)*INDEX('Custom lights'!$C$8:$C$88,46)</f>
        <v/>
      </c>
      <c r="AS50">
        <f>$B$3*INDEX(INDEX(Tables!$B$5:$G$85,0,('Custom lights'!$C$5="CIE 1964 10deg")*3+2),46)*INDEX('Custom lights'!$C$8:$C$88,46)</f>
        <v/>
      </c>
      <c r="AT50">
        <f>$B$3*INDEX(INDEX(Tables!$B$5:$G$85,0,('Custom lights'!$C$5="CIE 1964 10deg")*3+3),46)*INDEX('Custom lights'!$C$8:$C$88,46)</f>
        <v/>
      </c>
    </row>
    <row r="51">
      <c r="AR51">
        <f>$B$3*INDEX(INDEX(Tables!$B$5:$G$85,0,('Custom lights'!$C$5="CIE 1964 10deg")*3+1),47)*INDEX('Custom lights'!$C$8:$C$88,47)</f>
        <v/>
      </c>
      <c r="AS51">
        <f>$B$3*INDEX(INDEX(Tables!$B$5:$G$85,0,('Custom lights'!$C$5="CIE 1964 10deg")*3+2),47)*INDEX('Custom lights'!$C$8:$C$88,47)</f>
        <v/>
      </c>
      <c r="AT51">
        <f>$B$3*INDEX(INDEX(Tables!$B$5:$G$85,0,('Custom lights'!$C$5="CIE 1964 10deg")*3+3),47)*INDEX('Custom lights'!$C$8:$C$88,47)</f>
        <v/>
      </c>
    </row>
    <row r="52">
      <c r="B52" t="inlineStr">
        <is>
          <t>S11</t>
        </is>
      </c>
      <c r="C52" t="inlineStr">
        <is>
          <t>S12</t>
        </is>
      </c>
      <c r="D52" t="inlineStr">
        <is>
          <t>S22</t>
        </is>
      </c>
      <c r="E52" t="inlineStr">
        <is>
          <t>Sp1</t>
        </is>
      </c>
      <c r="F52" t="inlineStr">
        <is>
          <t>Sp2</t>
        </is>
      </c>
      <c r="G52" t="inlineStr">
        <is>
          <t>St1</t>
        </is>
      </c>
      <c r="H52" t="inlineStr">
        <is>
          <t>St2</t>
        </is>
      </c>
      <c r="AR52">
        <f>$B$3*INDEX(INDEX(Tables!$B$5:$G$85,0,('Custom lights'!$C$5="CIE 1964 10deg")*3+1),48)*INDEX('Custom lights'!$C$8:$C$88,48)</f>
        <v/>
      </c>
      <c r="AS52">
        <f>$B$3*INDEX(INDEX(Tables!$B$5:$G$85,0,('Custom lights'!$C$5="CIE 1964 10deg")*3+2),48)*INDEX('Custom lights'!$C$8:$C$88,48)</f>
        <v/>
      </c>
      <c r="AT52">
        <f>$B$3*INDEX(INDEX(Tables!$B$5:$G$85,0,('Custom lights'!$C$5="CIE 1964 10deg")*3+3),48)*INDEX('Custom lights'!$C$8:$C$88,48)</f>
        <v/>
      </c>
    </row>
    <row r="53">
      <c r="B53">
        <f>SUMPRODUCT($C$49:$AP$49,$C$49:$AP$49)</f>
        <v/>
      </c>
      <c r="C53">
        <f>SUMPRODUCT($C$49:$AP$49,$C$50:$AP$50)</f>
        <v/>
      </c>
      <c r="D53">
        <f>SUMPRODUCT($C$50:$AP$50,$C$50:$AP$50)</f>
        <v/>
      </c>
      <c r="E53">
        <f>SUMPRODUCT(Base!$C$87:$AP$87,$C$49:$AP$49)</f>
        <v/>
      </c>
      <c r="F53">
        <f>SUMPRODUCT(Base!$C$87:$AP$87,$C$50:$AP$50)</f>
        <v/>
      </c>
      <c r="G53">
        <f>SUMPRODUCT(Base!$C$88:$AP$88,$C$49:$AP$49)</f>
        <v/>
      </c>
      <c r="H53">
        <f>SUMPRODUCT(Base!$C$88:$AP$88,$C$50:$AP$50)</f>
        <v/>
      </c>
      <c r="AR53">
        <f>$B$3*INDEX(INDEX(Tables!$B$5:$G$85,0,('Custom lights'!$C$5="CIE 1964 10deg")*3+1),49)*INDEX('Custom lights'!$C$8:$C$88,49)</f>
        <v/>
      </c>
      <c r="AS53">
        <f>$B$3*INDEX(INDEX(Tables!$B$5:$G$85,0,('Custom lights'!$C$5="CIE 1964 10deg")*3+2),49)*INDEX('Custom lights'!$C$8:$C$88,49)</f>
        <v/>
      </c>
      <c r="AT53">
        <f>$B$3*INDEX(INDEX(Tables!$B$5:$G$85,0,('Custom lights'!$C$5="CIE 1964 10deg")*3+3),49)*INDEX('Custom lights'!$C$8:$C$88,49)</f>
        <v/>
      </c>
    </row>
    <row r="54">
      <c r="AR54">
        <f>$B$3*INDEX(INDEX(Tables!$B$5:$G$85,0,('Custom lights'!$C$5="CIE 1964 10deg")*3+1),50)*INDEX('Custom lights'!$C$8:$C$88,50)</f>
        <v/>
      </c>
      <c r="AS54">
        <f>$B$3*INDEX(INDEX(Tables!$B$5:$G$85,0,('Custom lights'!$C$5="CIE 1964 10deg")*3+2),50)*INDEX('Custom lights'!$C$8:$C$88,50)</f>
        <v/>
      </c>
      <c r="AT54">
        <f>$B$3*INDEX(INDEX(Tables!$B$5:$G$85,0,('Custom lights'!$C$5="CIE 1964 10deg")*3+3),50)*INDEX('Custom lights'!$C$8:$C$88,50)</f>
        <v/>
      </c>
    </row>
    <row r="55">
      <c r="A55" t="inlineStr">
        <is>
          <t>det</t>
        </is>
      </c>
      <c r="B55">
        <f>$B$53*$D$53-$C$53^2</f>
        <v/>
      </c>
      <c r="AR55">
        <f>$B$3*INDEX(INDEX(Tables!$B$5:$G$85,0,('Custom lights'!$C$5="CIE 1964 10deg")*3+1),51)*INDEX('Custom lights'!$C$8:$C$88,51)</f>
        <v/>
      </c>
      <c r="AS55">
        <f>$B$3*INDEX(INDEX(Tables!$B$5:$G$85,0,('Custom lights'!$C$5="CIE 1964 10deg")*3+2),51)*INDEX('Custom lights'!$C$8:$C$88,51)</f>
        <v/>
      </c>
      <c r="AT55">
        <f>$B$3*INDEX(INDEX(Tables!$B$5:$G$85,0,('Custom lights'!$C$5="CIE 1964 10deg")*3+3),51)*INDEX('Custom lights'!$C$8:$C$88,51)</f>
        <v/>
      </c>
    </row>
    <row r="56">
      <c r="A56" t="inlineStr">
        <is>
          <t>F (2 x 2)</t>
        </is>
      </c>
      <c r="B56">
        <f>($E$53*$D$53-$F$53*$C$53)/$B$55</f>
        <v/>
      </c>
      <c r="C56">
        <f>(-$E$53*$C$53+$F$53*$B$53)/$B$55</f>
        <v/>
      </c>
      <c r="AR56">
        <f>$B$3*INDEX(INDEX(Tables!$B$5:$G$85,0,('Custom lights'!$C$5="CIE 1964 10deg")*3+1),52)*INDEX('Custom lights'!$C$8:$C$88,52)</f>
        <v/>
      </c>
      <c r="AS56">
        <f>$B$3*INDEX(INDEX(Tables!$B$5:$G$85,0,('Custom lights'!$C$5="CIE 1964 10deg")*3+2),52)*INDEX('Custom lights'!$C$8:$C$88,52)</f>
        <v/>
      </c>
      <c r="AT56">
        <f>$B$3*INDEX(INDEX(Tables!$B$5:$G$85,0,('Custom lights'!$C$5="CIE 1964 10deg")*3+3),52)*INDEX('Custom lights'!$C$8:$C$88,52)</f>
        <v/>
      </c>
    </row>
    <row r="57">
      <c r="B57">
        <f>($G$53*$D$53-$H$53*$C$53)/$B$55</f>
        <v/>
      </c>
      <c r="C57">
        <f>(-$G$53*$C$53+$H$53*$B$53)/$B$55</f>
        <v/>
      </c>
      <c r="AR57">
        <f>$B$3*INDEX(INDEX(Tables!$B$5:$G$85,0,('Custom lights'!$C$5="CIE 1964 10deg")*3+1),53)*INDEX('Custom lights'!$C$8:$C$88,53)</f>
        <v/>
      </c>
      <c r="AS57">
        <f>$B$3*INDEX(INDEX(Tables!$B$5:$G$85,0,('Custom lights'!$C$5="CIE 1964 10deg")*3+2),53)*INDEX('Custom lights'!$C$8:$C$88,53)</f>
        <v/>
      </c>
      <c r="AT57">
        <f>$B$3*INDEX(INDEX(Tables!$B$5:$G$85,0,('Custom lights'!$C$5="CIE 1964 10deg")*3+3),53)*INDEX('Custom lights'!$C$8:$C$88,53)</f>
        <v/>
      </c>
    </row>
    <row r="58">
      <c r="AR58">
        <f>$B$3*INDEX(INDEX(Tables!$B$5:$G$85,0,('Custom lights'!$C$5="CIE 1964 10deg")*3+1),54)*INDEX('Custom lights'!$C$8:$C$88,54)</f>
        <v/>
      </c>
      <c r="AS58">
        <f>$B$3*INDEX(INDEX(Tables!$B$5:$G$85,0,('Custom lights'!$C$5="CIE 1964 10deg")*3+2),54)*INDEX('Custom lights'!$C$8:$C$88,54)</f>
        <v/>
      </c>
      <c r="AT58">
        <f>$B$3*INDEX(INDEX(Tables!$B$5:$G$85,0,('Custom lights'!$C$5="CIE 1964 10deg")*3+3),54)*INDEX('Custom lights'!$C$8:$C$88,54)</f>
        <v/>
      </c>
    </row>
    <row r="59">
      <c r="A59" s="2" t="inlineStr">
        <is>
          <t>Result: A, XYZ to Wpt</t>
        </is>
      </c>
      <c r="B59">
        <f>$B$45</f>
        <v/>
      </c>
      <c r="C59">
        <f>$C$45</f>
        <v/>
      </c>
      <c r="D59">
        <f>$D$45</f>
        <v/>
      </c>
      <c r="F59" t="inlineStr">
        <is>
          <t>det A</t>
        </is>
      </c>
      <c r="G59">
        <f>($B$59*($C$60*$D$61-$D$60*$C$61)-$C$59*($B$60*$D$61-$D$60*$B$61)+$D$59*($B$60*$C$61-$C$60*$B$61))</f>
        <v/>
      </c>
      <c r="AR59">
        <f>$B$3*INDEX(INDEX(Tables!$B$5:$G$85,0,('Custom lights'!$C$5="CIE 1964 10deg")*3+1),55)*INDEX('Custom lights'!$C$8:$C$88,55)</f>
        <v/>
      </c>
      <c r="AS59">
        <f>$B$3*INDEX(INDEX(Tables!$B$5:$G$85,0,('Custom lights'!$C$5="CIE 1964 10deg")*3+2),55)*INDEX('Custom lights'!$C$8:$C$88,55)</f>
        <v/>
      </c>
      <c r="AT59">
        <f>$B$3*INDEX(INDEX(Tables!$B$5:$G$85,0,('Custom lights'!$C$5="CIE 1964 10deg")*3+3),55)*INDEX('Custom lights'!$C$8:$C$88,55)</f>
        <v/>
      </c>
    </row>
    <row r="60">
      <c r="B60">
        <f>$B$56*$B$46+$C$56*$B$47</f>
        <v/>
      </c>
      <c r="C60">
        <f>$B$56*$C$46+$C$56*$C$47</f>
        <v/>
      </c>
      <c r="D60">
        <f>$B$56*$D$46+$C$56*$D$47</f>
        <v/>
      </c>
      <c r="AR60">
        <f>$B$3*INDEX(INDEX(Tables!$B$5:$G$85,0,('Custom lights'!$C$5="CIE 1964 10deg")*3+1),56)*INDEX('Custom lights'!$C$8:$C$88,56)</f>
        <v/>
      </c>
      <c r="AS60">
        <f>$B$3*INDEX(INDEX(Tables!$B$5:$G$85,0,('Custom lights'!$C$5="CIE 1964 10deg")*3+2),56)*INDEX('Custom lights'!$C$8:$C$88,56)</f>
        <v/>
      </c>
      <c r="AT60">
        <f>$B$3*INDEX(INDEX(Tables!$B$5:$G$85,0,('Custom lights'!$C$5="CIE 1964 10deg")*3+3),56)*INDEX('Custom lights'!$C$8:$C$88,56)</f>
        <v/>
      </c>
    </row>
    <row r="61">
      <c r="B61">
        <f>$B$57*$B$46+$C$57*$B$47</f>
        <v/>
      </c>
      <c r="C61">
        <f>$B$57*$C$46+$C$57*$C$47</f>
        <v/>
      </c>
      <c r="D61">
        <f>$B$57*$D$46+$C$57*$D$47</f>
        <v/>
      </c>
      <c r="AR61">
        <f>$B$3*INDEX(INDEX(Tables!$B$5:$G$85,0,('Custom lights'!$C$5="CIE 1964 10deg")*3+1),57)*INDEX('Custom lights'!$C$8:$C$88,57)</f>
        <v/>
      </c>
      <c r="AS61">
        <f>$B$3*INDEX(INDEX(Tables!$B$5:$G$85,0,('Custom lights'!$C$5="CIE 1964 10deg")*3+2),57)*INDEX('Custom lights'!$C$8:$C$88,57)</f>
        <v/>
      </c>
      <c r="AT61">
        <f>$B$3*INDEX(INDEX(Tables!$B$5:$G$85,0,('Custom lights'!$C$5="CIE 1964 10deg")*3+3),57)*INDEX('Custom lights'!$C$8:$C$88,57)</f>
        <v/>
      </c>
    </row>
    <row r="62">
      <c r="AR62">
        <f>$B$3*INDEX(INDEX(Tables!$B$5:$G$85,0,('Custom lights'!$C$5="CIE 1964 10deg")*3+1),58)*INDEX('Custom lights'!$C$8:$C$88,58)</f>
        <v/>
      </c>
      <c r="AS62">
        <f>$B$3*INDEX(INDEX(Tables!$B$5:$G$85,0,('Custom lights'!$C$5="CIE 1964 10deg")*3+2),58)*INDEX('Custom lights'!$C$8:$C$88,58)</f>
        <v/>
      </c>
      <c r="AT62">
        <f>$B$3*INDEX(INDEX(Tables!$B$5:$G$85,0,('Custom lights'!$C$5="CIE 1964 10deg")*3+3),58)*INDEX('Custom lights'!$C$8:$C$88,58)</f>
        <v/>
      </c>
    </row>
    <row r="63">
      <c r="A63" s="2" t="inlineStr">
        <is>
          <t>Inverse: Wpt to XYZ</t>
        </is>
      </c>
      <c r="B63">
        <f>($C$60*$D$61-$D$60*$C$61)/$G$59</f>
        <v/>
      </c>
      <c r="C63">
        <f>($C$61*$D$59-$D$61*$C$59)/$G$59</f>
        <v/>
      </c>
      <c r="D63">
        <f>($C$59*$D$60-$D$59*$C$60)/$G$59</f>
        <v/>
      </c>
      <c r="AR63">
        <f>$B$3*INDEX(INDEX(Tables!$B$5:$G$85,0,('Custom lights'!$C$5="CIE 1964 10deg")*3+1),59)*INDEX('Custom lights'!$C$8:$C$88,59)</f>
        <v/>
      </c>
      <c r="AS63">
        <f>$B$3*INDEX(INDEX(Tables!$B$5:$G$85,0,('Custom lights'!$C$5="CIE 1964 10deg")*3+2),59)*INDEX('Custom lights'!$C$8:$C$88,59)</f>
        <v/>
      </c>
      <c r="AT63">
        <f>$B$3*INDEX(INDEX(Tables!$B$5:$G$85,0,('Custom lights'!$C$5="CIE 1964 10deg")*3+3),59)*INDEX('Custom lights'!$C$8:$C$88,59)</f>
        <v/>
      </c>
    </row>
    <row r="64">
      <c r="B64">
        <f>($D$60*$B$61-$B$60*$D$61)/$G$59</f>
        <v/>
      </c>
      <c r="C64">
        <f>($D$61*$B$59-$B$61*$D$59)/$G$59</f>
        <v/>
      </c>
      <c r="D64">
        <f>($D$59*$B$60-$B$59*$D$60)/$G$59</f>
        <v/>
      </c>
      <c r="AR64">
        <f>$B$3*INDEX(INDEX(Tables!$B$5:$G$85,0,('Custom lights'!$C$5="CIE 1964 10deg")*3+1),60)*INDEX('Custom lights'!$C$8:$C$88,60)</f>
        <v/>
      </c>
      <c r="AS64">
        <f>$B$3*INDEX(INDEX(Tables!$B$5:$G$85,0,('Custom lights'!$C$5="CIE 1964 10deg")*3+2),60)*INDEX('Custom lights'!$C$8:$C$88,60)</f>
        <v/>
      </c>
      <c r="AT64">
        <f>$B$3*INDEX(INDEX(Tables!$B$5:$G$85,0,('Custom lights'!$C$5="CIE 1964 10deg")*3+3),60)*INDEX('Custom lights'!$C$8:$C$88,60)</f>
        <v/>
      </c>
    </row>
    <row r="65">
      <c r="B65">
        <f>($B$60*$C$61-$C$60*$B$61)/$G$59</f>
        <v/>
      </c>
      <c r="C65">
        <f>($B$61*$C$59-$C$61*$B$59)/$G$59</f>
        <v/>
      </c>
      <c r="D65">
        <f>($B$59*$C$60-$C$59*$B$60)/$G$59</f>
        <v/>
      </c>
      <c r="AR65">
        <f>$B$3*INDEX(INDEX(Tables!$B$5:$G$85,0,('Custom lights'!$C$5="CIE 1964 10deg")*3+1),61)*INDEX('Custom lights'!$C$8:$C$88,61)</f>
        <v/>
      </c>
      <c r="AS65">
        <f>$B$3*INDEX(INDEX(Tables!$B$5:$G$85,0,('Custom lights'!$C$5="CIE 1964 10deg")*3+2),61)*INDEX('Custom lights'!$C$8:$C$88,61)</f>
        <v/>
      </c>
      <c r="AT65">
        <f>$B$3*INDEX(INDEX(Tables!$B$5:$G$85,0,('Custom lights'!$C$5="CIE 1964 10deg")*3+3),61)*INDEX('Custom lights'!$C$8:$C$88,61)</f>
        <v/>
      </c>
    </row>
    <row r="66">
      <c r="AR66">
        <f>$B$3*INDEX(INDEX(Tables!$B$5:$G$85,0,('Custom lights'!$C$5="CIE 1964 10deg")*3+1),62)*INDEX('Custom lights'!$C$8:$C$88,62)</f>
        <v/>
      </c>
      <c r="AS66">
        <f>$B$3*INDEX(INDEX(Tables!$B$5:$G$85,0,('Custom lights'!$C$5="CIE 1964 10deg")*3+2),62)*INDEX('Custom lights'!$C$8:$C$88,62)</f>
        <v/>
      </c>
      <c r="AT66">
        <f>$B$3*INDEX(INDEX(Tables!$B$5:$G$85,0,('Custom lights'!$C$5="CIE 1964 10deg")*3+3),62)*INDEX('Custom lights'!$C$8:$C$88,62)</f>
        <v/>
      </c>
    </row>
    <row r="67">
      <c r="AR67">
        <f>$B$3*INDEX(INDEX(Tables!$B$5:$G$85,0,('Custom lights'!$C$5="CIE 1964 10deg")*3+1),63)*INDEX('Custom lights'!$C$8:$C$88,63)</f>
        <v/>
      </c>
      <c r="AS67">
        <f>$B$3*INDEX(INDEX(Tables!$B$5:$G$85,0,('Custom lights'!$C$5="CIE 1964 10deg")*3+2),63)*INDEX('Custom lights'!$C$8:$C$88,63)</f>
        <v/>
      </c>
      <c r="AT67">
        <f>$B$3*INDEX(INDEX(Tables!$B$5:$G$85,0,('Custom lights'!$C$5="CIE 1964 10deg")*3+3),63)*INDEX('Custom lights'!$C$8:$C$88,63)</f>
        <v/>
      </c>
    </row>
    <row r="68">
      <c r="AR68">
        <f>$B$3*INDEX(INDEX(Tables!$B$5:$G$85,0,('Custom lights'!$C$5="CIE 1964 10deg")*3+1),64)*INDEX('Custom lights'!$C$8:$C$88,64)</f>
        <v/>
      </c>
      <c r="AS68">
        <f>$B$3*INDEX(INDEX(Tables!$B$5:$G$85,0,('Custom lights'!$C$5="CIE 1964 10deg")*3+2),64)*INDEX('Custom lights'!$C$8:$C$88,64)</f>
        <v/>
      </c>
      <c r="AT68">
        <f>$B$3*INDEX(INDEX(Tables!$B$5:$G$85,0,('Custom lights'!$C$5="CIE 1964 10deg")*3+3),64)*INDEX('Custom lights'!$C$8:$C$88,64)</f>
        <v/>
      </c>
    </row>
    <row r="69">
      <c r="AR69">
        <f>$B$3*INDEX(INDEX(Tables!$B$5:$G$85,0,('Custom lights'!$C$5="CIE 1964 10deg")*3+1),65)*INDEX('Custom lights'!$C$8:$C$88,65)</f>
        <v/>
      </c>
      <c r="AS69">
        <f>$B$3*INDEX(INDEX(Tables!$B$5:$G$85,0,('Custom lights'!$C$5="CIE 1964 10deg")*3+2),65)*INDEX('Custom lights'!$C$8:$C$88,65)</f>
        <v/>
      </c>
      <c r="AT69">
        <f>$B$3*INDEX(INDEX(Tables!$B$5:$G$85,0,('Custom lights'!$C$5="CIE 1964 10deg")*3+3),65)*INDEX('Custom lights'!$C$8:$C$88,65)</f>
        <v/>
      </c>
    </row>
    <row r="70">
      <c r="AR70">
        <f>$B$3*INDEX(INDEX(Tables!$B$5:$G$85,0,('Custom lights'!$C$5="CIE 1964 10deg")*3+1),66)*INDEX('Custom lights'!$C$8:$C$88,66)</f>
        <v/>
      </c>
      <c r="AS70">
        <f>$B$3*INDEX(INDEX(Tables!$B$5:$G$85,0,('Custom lights'!$C$5="CIE 1964 10deg")*3+2),66)*INDEX('Custom lights'!$C$8:$C$88,66)</f>
        <v/>
      </c>
      <c r="AT70">
        <f>$B$3*INDEX(INDEX(Tables!$B$5:$G$85,0,('Custom lights'!$C$5="CIE 1964 10deg")*3+3),66)*INDEX('Custom lights'!$C$8:$C$88,66)</f>
        <v/>
      </c>
    </row>
    <row r="71">
      <c r="AR71">
        <f>$B$3*INDEX(INDEX(Tables!$B$5:$G$85,0,('Custom lights'!$C$5="CIE 1964 10deg")*3+1),67)*INDEX('Custom lights'!$C$8:$C$88,67)</f>
        <v/>
      </c>
      <c r="AS71">
        <f>$B$3*INDEX(INDEX(Tables!$B$5:$G$85,0,('Custom lights'!$C$5="CIE 1964 10deg")*3+2),67)*INDEX('Custom lights'!$C$8:$C$88,67)</f>
        <v/>
      </c>
      <c r="AT71">
        <f>$B$3*INDEX(INDEX(Tables!$B$5:$G$85,0,('Custom lights'!$C$5="CIE 1964 10deg")*3+3),67)*INDEX('Custom lights'!$C$8:$C$88,67)</f>
        <v/>
      </c>
    </row>
    <row r="72">
      <c r="AR72">
        <f>$B$3*INDEX(INDEX(Tables!$B$5:$G$85,0,('Custom lights'!$C$5="CIE 1964 10deg")*3+1),68)*INDEX('Custom lights'!$C$8:$C$88,68)</f>
        <v/>
      </c>
      <c r="AS72">
        <f>$B$3*INDEX(INDEX(Tables!$B$5:$G$85,0,('Custom lights'!$C$5="CIE 1964 10deg")*3+2),68)*INDEX('Custom lights'!$C$8:$C$88,68)</f>
        <v/>
      </c>
      <c r="AT72">
        <f>$B$3*INDEX(INDEX(Tables!$B$5:$G$85,0,('Custom lights'!$C$5="CIE 1964 10deg")*3+3),68)*INDEX('Custom lights'!$C$8:$C$88,68)</f>
        <v/>
      </c>
    </row>
    <row r="73">
      <c r="AR73">
        <f>$B$3*INDEX(INDEX(Tables!$B$5:$G$85,0,('Custom lights'!$C$5="CIE 1964 10deg")*3+1),69)*INDEX('Custom lights'!$C$8:$C$88,69)</f>
        <v/>
      </c>
      <c r="AS73">
        <f>$B$3*INDEX(INDEX(Tables!$B$5:$G$85,0,('Custom lights'!$C$5="CIE 1964 10deg")*3+2),69)*INDEX('Custom lights'!$C$8:$C$88,69)</f>
        <v/>
      </c>
      <c r="AT73">
        <f>$B$3*INDEX(INDEX(Tables!$B$5:$G$85,0,('Custom lights'!$C$5="CIE 1964 10deg")*3+3),69)*INDEX('Custom lights'!$C$8:$C$88,69)</f>
        <v/>
      </c>
    </row>
    <row r="74">
      <c r="AR74">
        <f>$B$3*INDEX(INDEX(Tables!$B$5:$G$85,0,('Custom lights'!$C$5="CIE 1964 10deg")*3+1),70)*INDEX('Custom lights'!$C$8:$C$88,70)</f>
        <v/>
      </c>
      <c r="AS74">
        <f>$B$3*INDEX(INDEX(Tables!$B$5:$G$85,0,('Custom lights'!$C$5="CIE 1964 10deg")*3+2),70)*INDEX('Custom lights'!$C$8:$C$88,70)</f>
        <v/>
      </c>
      <c r="AT74">
        <f>$B$3*INDEX(INDEX(Tables!$B$5:$G$85,0,('Custom lights'!$C$5="CIE 1964 10deg")*3+3),70)*INDEX('Custom lights'!$C$8:$C$88,70)</f>
        <v/>
      </c>
    </row>
    <row r="75">
      <c r="AR75">
        <f>$B$3*INDEX(INDEX(Tables!$B$5:$G$85,0,('Custom lights'!$C$5="CIE 1964 10deg")*3+1),71)*INDEX('Custom lights'!$C$8:$C$88,71)</f>
        <v/>
      </c>
      <c r="AS75">
        <f>$B$3*INDEX(INDEX(Tables!$B$5:$G$85,0,('Custom lights'!$C$5="CIE 1964 10deg")*3+2),71)*INDEX('Custom lights'!$C$8:$C$88,71)</f>
        <v/>
      </c>
      <c r="AT75">
        <f>$B$3*INDEX(INDEX(Tables!$B$5:$G$85,0,('Custom lights'!$C$5="CIE 1964 10deg")*3+3),71)*INDEX('Custom lights'!$C$8:$C$88,71)</f>
        <v/>
      </c>
    </row>
    <row r="76">
      <c r="AR76">
        <f>$B$3*INDEX(INDEX(Tables!$B$5:$G$85,0,('Custom lights'!$C$5="CIE 1964 10deg")*3+1),72)*INDEX('Custom lights'!$C$8:$C$88,72)</f>
        <v/>
      </c>
      <c r="AS76">
        <f>$B$3*INDEX(INDEX(Tables!$B$5:$G$85,0,('Custom lights'!$C$5="CIE 1964 10deg")*3+2),72)*INDEX('Custom lights'!$C$8:$C$88,72)</f>
        <v/>
      </c>
      <c r="AT76">
        <f>$B$3*INDEX(INDEX(Tables!$B$5:$G$85,0,('Custom lights'!$C$5="CIE 1964 10deg")*3+3),72)*INDEX('Custom lights'!$C$8:$C$88,72)</f>
        <v/>
      </c>
    </row>
    <row r="77">
      <c r="AR77">
        <f>$B$3*INDEX(INDEX(Tables!$B$5:$G$85,0,('Custom lights'!$C$5="CIE 1964 10deg")*3+1),73)*INDEX('Custom lights'!$C$8:$C$88,73)</f>
        <v/>
      </c>
      <c r="AS77">
        <f>$B$3*INDEX(INDEX(Tables!$B$5:$G$85,0,('Custom lights'!$C$5="CIE 1964 10deg")*3+2),73)*INDEX('Custom lights'!$C$8:$C$88,73)</f>
        <v/>
      </c>
      <c r="AT77">
        <f>$B$3*INDEX(INDEX(Tables!$B$5:$G$85,0,('Custom lights'!$C$5="CIE 1964 10deg")*3+3),73)*INDEX('Custom lights'!$C$8:$C$88,73)</f>
        <v/>
      </c>
    </row>
    <row r="78">
      <c r="AR78">
        <f>$B$3*INDEX(INDEX(Tables!$B$5:$G$85,0,('Custom lights'!$C$5="CIE 1964 10deg")*3+1),74)*INDEX('Custom lights'!$C$8:$C$88,74)</f>
        <v/>
      </c>
      <c r="AS78">
        <f>$B$3*INDEX(INDEX(Tables!$B$5:$G$85,0,('Custom lights'!$C$5="CIE 1964 10deg")*3+2),74)*INDEX('Custom lights'!$C$8:$C$88,74)</f>
        <v/>
      </c>
      <c r="AT78">
        <f>$B$3*INDEX(INDEX(Tables!$B$5:$G$85,0,('Custom lights'!$C$5="CIE 1964 10deg")*3+3),74)*INDEX('Custom lights'!$C$8:$C$88,74)</f>
        <v/>
      </c>
    </row>
    <row r="79">
      <c r="AR79">
        <f>$B$3*INDEX(INDEX(Tables!$B$5:$G$85,0,('Custom lights'!$C$5="CIE 1964 10deg")*3+1),75)*INDEX('Custom lights'!$C$8:$C$88,75)</f>
        <v/>
      </c>
      <c r="AS79">
        <f>$B$3*INDEX(INDEX(Tables!$B$5:$G$85,0,('Custom lights'!$C$5="CIE 1964 10deg")*3+2),75)*INDEX('Custom lights'!$C$8:$C$88,75)</f>
        <v/>
      </c>
      <c r="AT79">
        <f>$B$3*INDEX(INDEX(Tables!$B$5:$G$85,0,('Custom lights'!$C$5="CIE 1964 10deg")*3+3),75)*INDEX('Custom lights'!$C$8:$C$88,75)</f>
        <v/>
      </c>
    </row>
    <row r="80">
      <c r="AR80">
        <f>$B$3*INDEX(INDEX(Tables!$B$5:$G$85,0,('Custom lights'!$C$5="CIE 1964 10deg")*3+1),76)*INDEX('Custom lights'!$C$8:$C$88,76)</f>
        <v/>
      </c>
      <c r="AS80">
        <f>$B$3*INDEX(INDEX(Tables!$B$5:$G$85,0,('Custom lights'!$C$5="CIE 1964 10deg")*3+2),76)*INDEX('Custom lights'!$C$8:$C$88,76)</f>
        <v/>
      </c>
      <c r="AT80">
        <f>$B$3*INDEX(INDEX(Tables!$B$5:$G$85,0,('Custom lights'!$C$5="CIE 1964 10deg")*3+3),76)*INDEX('Custom lights'!$C$8:$C$88,76)</f>
        <v/>
      </c>
    </row>
    <row r="81">
      <c r="AR81">
        <f>$B$3*INDEX(INDEX(Tables!$B$5:$G$85,0,('Custom lights'!$C$5="CIE 1964 10deg")*3+1),77)*INDEX('Custom lights'!$C$8:$C$88,77)</f>
        <v/>
      </c>
      <c r="AS81">
        <f>$B$3*INDEX(INDEX(Tables!$B$5:$G$85,0,('Custom lights'!$C$5="CIE 1964 10deg")*3+2),77)*INDEX('Custom lights'!$C$8:$C$88,77)</f>
        <v/>
      </c>
      <c r="AT81">
        <f>$B$3*INDEX(INDEX(Tables!$B$5:$G$85,0,('Custom lights'!$C$5="CIE 1964 10deg")*3+3),77)*INDEX('Custom lights'!$C$8:$C$88,77)</f>
        <v/>
      </c>
    </row>
    <row r="82">
      <c r="AR82">
        <f>$B$3*INDEX(INDEX(Tables!$B$5:$G$85,0,('Custom lights'!$C$5="CIE 1964 10deg")*3+1),78)*INDEX('Custom lights'!$C$8:$C$88,78)</f>
        <v/>
      </c>
      <c r="AS82">
        <f>$B$3*INDEX(INDEX(Tables!$B$5:$G$85,0,('Custom lights'!$C$5="CIE 1964 10deg")*3+2),78)*INDEX('Custom lights'!$C$8:$C$88,78)</f>
        <v/>
      </c>
      <c r="AT82">
        <f>$B$3*INDEX(INDEX(Tables!$B$5:$G$85,0,('Custom lights'!$C$5="CIE 1964 10deg")*3+3),78)*INDEX('Custom lights'!$C$8:$C$88,78)</f>
        <v/>
      </c>
    </row>
    <row r="83">
      <c r="AR83">
        <f>$B$3*INDEX(INDEX(Tables!$B$5:$G$85,0,('Custom lights'!$C$5="CIE 1964 10deg")*3+1),79)*INDEX('Custom lights'!$C$8:$C$88,79)</f>
        <v/>
      </c>
      <c r="AS83">
        <f>$B$3*INDEX(INDEX(Tables!$B$5:$G$85,0,('Custom lights'!$C$5="CIE 1964 10deg")*3+2),79)*INDEX('Custom lights'!$C$8:$C$88,79)</f>
        <v/>
      </c>
      <c r="AT83">
        <f>$B$3*INDEX(INDEX(Tables!$B$5:$G$85,0,('Custom lights'!$C$5="CIE 1964 10deg")*3+3),79)*INDEX('Custom lights'!$C$8:$C$88,79)</f>
        <v/>
      </c>
    </row>
    <row r="84">
      <c r="AR84">
        <f>$B$3*INDEX(INDEX(Tables!$B$5:$G$85,0,('Custom lights'!$C$5="CIE 1964 10deg")*3+1),80)*INDEX('Custom lights'!$C$8:$C$88,80)</f>
        <v/>
      </c>
      <c r="AS84">
        <f>$B$3*INDEX(INDEX(Tables!$B$5:$G$85,0,('Custom lights'!$C$5="CIE 1964 10deg")*3+2),80)*INDEX('Custom lights'!$C$8:$C$88,80)</f>
        <v/>
      </c>
      <c r="AT84">
        <f>$B$3*INDEX(INDEX(Tables!$B$5:$G$85,0,('Custom lights'!$C$5="CIE 1964 10deg")*3+3),80)*INDEX('Custom lights'!$C$8:$C$88,80)</f>
        <v/>
      </c>
    </row>
    <row r="85">
      <c r="AR85">
        <f>$B$3*INDEX(INDEX(Tables!$B$5:$G$85,0,('Custom lights'!$C$5="CIE 1964 10deg")*3+1),81)*INDEX('Custom lights'!$C$8:$C$88,81)</f>
        <v/>
      </c>
      <c r="AS85">
        <f>$B$3*INDEX(INDEX(Tables!$B$5:$G$85,0,('Custom lights'!$C$5="CIE 1964 10deg")*3+2),81)*INDEX('Custom lights'!$C$8:$C$88,81)</f>
        <v/>
      </c>
      <c r="AT85">
        <f>$B$3*INDEX(INDEX(Tables!$B$5:$G$85,0,('Custom lights'!$C$5="CIE 1964 10deg")*3+3),81)*INDEX('Custom lights'!$C$8:$C$88,81)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Xn</t>
        </is>
      </c>
      <c r="C1" t="inlineStr">
        <is>
          <t>Yn</t>
        </is>
      </c>
      <c r="D1" t="inlineStr">
        <is>
          <t>Zn</t>
        </is>
      </c>
      <c r="E1" t="inlineStr">
        <is>
          <t>A11</t>
        </is>
      </c>
      <c r="F1" t="inlineStr">
        <is>
          <t>A12</t>
        </is>
      </c>
      <c r="G1" t="inlineStr">
        <is>
          <t>A13</t>
        </is>
      </c>
      <c r="H1" t="inlineStr">
        <is>
          <t>A21</t>
        </is>
      </c>
      <c r="I1" t="inlineStr">
        <is>
          <t>A22</t>
        </is>
      </c>
      <c r="J1" t="inlineStr">
        <is>
          <t>A23</t>
        </is>
      </c>
      <c r="K1" t="inlineStr">
        <is>
          <t>A31</t>
        </is>
      </c>
      <c r="L1" t="inlineStr">
        <is>
          <t>A32</t>
        </is>
      </c>
      <c r="M1" t="inlineStr">
        <is>
          <t>A33</t>
        </is>
      </c>
    </row>
    <row r="2">
      <c r="A2" t="inlineStr">
        <is>
          <t>CIE 1931 2deg C</t>
        </is>
      </c>
      <c r="B2" t="n">
        <v>98.07153176</v>
      </c>
      <c r="C2" t="n">
        <v>100</v>
      </c>
      <c r="D2" t="n">
        <v>118.2250117</v>
      </c>
      <c r="E2" t="n">
        <v>-5.76359435818e-16</v>
      </c>
      <c r="F2" t="n">
        <v>1</v>
      </c>
      <c r="G2" t="n">
        <v>-2.24061311919e-16</v>
      </c>
      <c r="H2" t="n">
        <v>4.79199639186</v>
      </c>
      <c r="I2" t="n">
        <v>-4.74936773785</v>
      </c>
      <c r="J2" t="n">
        <v>0.0421090881064</v>
      </c>
      <c r="K2" t="n">
        <v>0.582518685363</v>
      </c>
      <c r="L2" t="n">
        <v>1.24640673043</v>
      </c>
      <c r="M2" t="n">
        <v>-1.53748492082</v>
      </c>
    </row>
    <row r="3">
      <c r="A3" t="inlineStr">
        <is>
          <t>CIE 1931 2deg D50</t>
        </is>
      </c>
      <c r="B3" t="n">
        <v>96.42455651</v>
      </c>
      <c r="C3" t="n">
        <v>100</v>
      </c>
      <c r="D3" t="n">
        <v>82.46790941</v>
      </c>
      <c r="E3" t="n">
        <v>-0.0626484774233</v>
      </c>
      <c r="F3" t="n">
        <v>1.0383941711</v>
      </c>
      <c r="G3" t="n">
        <v>0.026694438566</v>
      </c>
      <c r="H3" t="n">
        <v>4.63348866557</v>
      </c>
      <c r="I3" t="n">
        <v>-4.77194868402</v>
      </c>
      <c r="J3" t="n">
        <v>0.368783190142</v>
      </c>
      <c r="K3" t="n">
        <v>0.345181418424</v>
      </c>
      <c r="L3" t="n">
        <v>1.43700692512</v>
      </c>
      <c r="M3" t="n">
        <v>-2.14610336272</v>
      </c>
    </row>
    <row r="4">
      <c r="A4" t="inlineStr">
        <is>
          <t>CIE 1931 2deg D65</t>
        </is>
      </c>
      <c r="B4" t="n">
        <v>95.04296621</v>
      </c>
      <c r="C4" t="n">
        <v>100</v>
      </c>
      <c r="D4" t="n">
        <v>108.8800568</v>
      </c>
      <c r="E4" t="n">
        <v>0.0296439280038</v>
      </c>
      <c r="F4" t="n">
        <v>0.974870097833</v>
      </c>
      <c r="G4" t="n">
        <v>-0.0027962570912</v>
      </c>
      <c r="H4" t="n">
        <v>4.7853275105</v>
      </c>
      <c r="I4" t="n">
        <v>-4.67858277782</v>
      </c>
      <c r="J4" t="n">
        <v>0.119825037537</v>
      </c>
      <c r="K4" t="n">
        <v>0.606181429755</v>
      </c>
      <c r="L4" t="n">
        <v>1.24443242556</v>
      </c>
      <c r="M4" t="n">
        <v>-1.67208329095</v>
      </c>
    </row>
    <row r="5">
      <c r="A5" t="inlineStr">
        <is>
          <t>CIE 1931 2deg A</t>
        </is>
      </c>
      <c r="B5" t="n">
        <v>109.8489889</v>
      </c>
      <c r="C5" t="n">
        <v>100</v>
      </c>
      <c r="D5" t="n">
        <v>35.58247585</v>
      </c>
      <c r="E5" t="n">
        <v>-0.338100298687</v>
      </c>
      <c r="F5" t="n">
        <v>1.300064508</v>
      </c>
      <c r="G5" t="n">
        <v>0.200478605542</v>
      </c>
      <c r="H5" t="n">
        <v>4.3533489597</v>
      </c>
      <c r="I5" t="n">
        <v>-5.26214489796</v>
      </c>
      <c r="J5" t="n">
        <v>1.34907724407</v>
      </c>
      <c r="K5" t="n">
        <v>-0.35308386147</v>
      </c>
      <c r="L5" t="n">
        <v>2.10843791834</v>
      </c>
      <c r="M5" t="n">
        <v>-4.83546696924</v>
      </c>
    </row>
    <row r="6">
      <c r="A6" t="inlineStr">
        <is>
          <t>CIE 1931 2deg E</t>
        </is>
      </c>
      <c r="B6" t="n">
        <v>100.0009218</v>
      </c>
      <c r="C6" t="n">
        <v>100</v>
      </c>
      <c r="D6" t="n">
        <v>100.0009967</v>
      </c>
      <c r="E6" t="n">
        <v>-0.0740731609839</v>
      </c>
      <c r="F6" t="n">
        <v>1.05436311962</v>
      </c>
      <c r="G6" t="n">
        <v>0.0197105277235</v>
      </c>
      <c r="H6" t="n">
        <v>4.56208156332</v>
      </c>
      <c r="I6" t="n">
        <v>-4.7300962459</v>
      </c>
      <c r="J6" t="n">
        <v>0.167970955398</v>
      </c>
      <c r="K6" t="n">
        <v>0.437028053473</v>
      </c>
      <c r="L6" t="n">
        <v>1.34124770739</v>
      </c>
      <c r="M6" t="n">
        <v>-1.7782620661</v>
      </c>
    </row>
    <row r="7">
      <c r="A7" t="inlineStr">
        <is>
          <t>CIE 1931 2deg F2</t>
        </is>
      </c>
      <c r="B7" t="n">
        <v>99.18575971</v>
      </c>
      <c r="C7" t="n">
        <v>100</v>
      </c>
      <c r="D7" t="n">
        <v>67.39378442</v>
      </c>
      <c r="E7" t="n">
        <v>-0.198546617042</v>
      </c>
      <c r="F7" t="n">
        <v>1.09378205369</v>
      </c>
      <c r="G7" t="n">
        <v>0.153052566617</v>
      </c>
      <c r="H7" t="n">
        <v>6.04531787623</v>
      </c>
      <c r="I7" t="n">
        <v>-6.09833863722</v>
      </c>
      <c r="J7" t="n">
        <v>0.15171157972</v>
      </c>
      <c r="K7" t="n">
        <v>0.576602171339</v>
      </c>
      <c r="L7" t="n">
        <v>1.05342664337</v>
      </c>
      <c r="M7" t="n">
        <v>-2.41169701546</v>
      </c>
    </row>
    <row r="8">
      <c r="A8" t="inlineStr">
        <is>
          <t>CIE 1931 2deg F11</t>
        </is>
      </c>
      <c r="B8" t="n">
        <v>100.961007</v>
      </c>
      <c r="C8" t="n">
        <v>100</v>
      </c>
      <c r="D8" t="n">
        <v>64.35058522</v>
      </c>
      <c r="E8" t="n">
        <v>-0.123659146554</v>
      </c>
      <c r="F8" t="n">
        <v>1.05658598171</v>
      </c>
      <c r="G8" t="n">
        <v>0.106077571187</v>
      </c>
      <c r="H8" t="n">
        <v>4.33731733991</v>
      </c>
      <c r="I8" t="n">
        <v>-4.58453337182</v>
      </c>
      <c r="J8" t="n">
        <v>0.319397422388</v>
      </c>
      <c r="K8" t="n">
        <v>0.43249735558</v>
      </c>
      <c r="L8" t="n">
        <v>1.22995007853</v>
      </c>
      <c r="M8" t="n">
        <v>-2.58988128576</v>
      </c>
    </row>
    <row r="9">
      <c r="A9" t="inlineStr">
        <is>
          <t>CIE 1964 10deg C</t>
        </is>
      </c>
      <c r="B9" t="n">
        <v>97.28489908</v>
      </c>
      <c r="C9" t="n">
        <v>100</v>
      </c>
      <c r="D9" t="n">
        <v>116.1446458</v>
      </c>
      <c r="E9" t="n">
        <v>0.0488792369102</v>
      </c>
      <c r="F9" t="n">
        <v>1.02267841012</v>
      </c>
      <c r="G9" t="n">
        <v>-0.0604681567041</v>
      </c>
      <c r="H9" t="n">
        <v>5.08353449461</v>
      </c>
      <c r="I9" t="n">
        <v>-5.30114029612</v>
      </c>
      <c r="J9" t="n">
        <v>0.306194823813</v>
      </c>
      <c r="K9" t="n">
        <v>0.822643894285</v>
      </c>
      <c r="L9" t="n">
        <v>1.08193613546</v>
      </c>
      <c r="M9" t="n">
        <v>-1.62060369211</v>
      </c>
    </row>
    <row r="10">
      <c r="A10" t="inlineStr">
        <is>
          <t>CIE 1964 10deg D50</t>
        </is>
      </c>
      <c r="B10" t="n">
        <v>96.72536509</v>
      </c>
      <c r="C10" t="n">
        <v>100</v>
      </c>
      <c r="D10" t="n">
        <v>81.38292703</v>
      </c>
      <c r="E10" t="n">
        <v>-0.0339037495599</v>
      </c>
      <c r="F10" t="n">
        <v>1.06622061882</v>
      </c>
      <c r="G10" t="n">
        <v>-0.0410738400473</v>
      </c>
      <c r="H10" t="n">
        <v>4.92782240255</v>
      </c>
      <c r="I10" t="n">
        <v>-5.31843337773</v>
      </c>
      <c r="J10" t="n">
        <v>0.67824934271</v>
      </c>
      <c r="K10" t="n">
        <v>0.548418221158</v>
      </c>
      <c r="L10" t="n">
        <v>1.280585356</v>
      </c>
      <c r="M10" t="n">
        <v>-2.22533760914</v>
      </c>
    </row>
    <row r="11">
      <c r="A11" t="inlineStr">
        <is>
          <t>CIE 1964 10deg D65</t>
        </is>
      </c>
      <c r="B11" t="n">
        <v>94.81179252</v>
      </c>
      <c r="C11" t="n">
        <v>100</v>
      </c>
      <c r="D11" t="n">
        <v>107.3241144</v>
      </c>
      <c r="E11" t="n">
        <v>0.0783707052127</v>
      </c>
      <c r="F11" t="n">
        <v>0.993002356196</v>
      </c>
      <c r="G11" t="n">
        <v>-0.0627137964102</v>
      </c>
      <c r="H11" t="n">
        <v>5.06409569513</v>
      </c>
      <c r="I11" t="n">
        <v>-5.21344249928</v>
      </c>
      <c r="J11" t="n">
        <v>0.383960863006</v>
      </c>
      <c r="K11" t="n">
        <v>0.849656578962</v>
      </c>
      <c r="L11" t="n">
        <v>1.07049261956</v>
      </c>
      <c r="M11" t="n">
        <v>-1.74803888431</v>
      </c>
    </row>
    <row r="12">
      <c r="A12" t="inlineStr">
        <is>
          <t>CIE 1964 10deg A</t>
        </is>
      </c>
      <c r="B12" t="n">
        <v>111.1439206</v>
      </c>
      <c r="C12" t="n">
        <v>100</v>
      </c>
      <c r="D12" t="n">
        <v>35.19952297</v>
      </c>
      <c r="E12" t="n">
        <v>-0.362330367947</v>
      </c>
      <c r="F12" t="n">
        <v>1.37187978788</v>
      </c>
      <c r="G12" t="n">
        <v>0.0875818358597</v>
      </c>
      <c r="H12" t="n">
        <v>4.70805231123</v>
      </c>
      <c r="I12" t="n">
        <v>-5.8797329744</v>
      </c>
      <c r="J12" t="n">
        <v>1.83814722212</v>
      </c>
      <c r="K12" t="n">
        <v>-0.235247845281</v>
      </c>
      <c r="L12" t="n">
        <v>1.9945872803</v>
      </c>
      <c r="M12" t="n">
        <v>-4.92371332249</v>
      </c>
    </row>
    <row r="13">
      <c r="A13" t="inlineStr">
        <is>
          <t>CIE 1964 10deg E</t>
        </is>
      </c>
      <c r="B13" t="n">
        <v>99.98850079</v>
      </c>
      <c r="C13" t="n">
        <v>100</v>
      </c>
      <c r="D13" t="n">
        <v>100.0090734</v>
      </c>
      <c r="E13" t="n">
        <v>-0.0409050559404</v>
      </c>
      <c r="F13" t="n">
        <v>1.08336293683</v>
      </c>
      <c r="G13" t="n">
        <v>-0.0424587322153</v>
      </c>
      <c r="H13" t="n">
        <v>4.84371515302</v>
      </c>
      <c r="I13" t="n">
        <v>-5.25686483158</v>
      </c>
      <c r="J13" t="n">
        <v>0.413669133873</v>
      </c>
      <c r="K13" t="n">
        <v>0.657112799535</v>
      </c>
      <c r="L13" t="n">
        <v>1.17326496398</v>
      </c>
      <c r="M13" t="n">
        <v>-1.83013614586</v>
      </c>
    </row>
    <row r="14">
      <c r="A14" t="inlineStr">
        <is>
          <t>CIE 1964 10deg F2</t>
        </is>
      </c>
      <c r="B14" t="n">
        <v>103.2804973</v>
      </c>
      <c r="C14" t="n">
        <v>100</v>
      </c>
      <c r="D14" t="n">
        <v>69.02994352</v>
      </c>
      <c r="E14" t="n">
        <v>-0.199133876972</v>
      </c>
      <c r="F14" t="n">
        <v>1.14288556701</v>
      </c>
      <c r="G14" t="n">
        <v>0.0909473311965</v>
      </c>
      <c r="H14" t="n">
        <v>6.31794213693</v>
      </c>
      <c r="I14" t="n">
        <v>-6.8327162534</v>
      </c>
      <c r="J14" t="n">
        <v>0.445479427525</v>
      </c>
      <c r="K14" t="n">
        <v>0.737504173355</v>
      </c>
      <c r="L14" t="n">
        <v>0.882420583823</v>
      </c>
      <c r="M14" t="n">
        <v>-2.38174693118</v>
      </c>
    </row>
    <row r="15">
      <c r="A15" t="inlineStr">
        <is>
          <t>CIE 1964 10deg F11</t>
        </is>
      </c>
      <c r="B15" t="n">
        <v>103.8644064</v>
      </c>
      <c r="C15" t="n">
        <v>100</v>
      </c>
      <c r="D15" t="n">
        <v>65.60852739000001</v>
      </c>
      <c r="E15" t="n">
        <v>-0.13852650886</v>
      </c>
      <c r="F15" t="n">
        <v>1.1117752598</v>
      </c>
      <c r="G15" t="n">
        <v>0.0489333896677</v>
      </c>
      <c r="H15" t="n">
        <v>4.68480984578</v>
      </c>
      <c r="I15" t="n">
        <v>-5.21352223043</v>
      </c>
      <c r="J15" t="n">
        <v>0.529919365403</v>
      </c>
      <c r="K15" t="n">
        <v>0.536227115275</v>
      </c>
      <c r="L15" t="n">
        <v>1.13090058862</v>
      </c>
      <c r="M15" t="n">
        <v>-2.57260719918</v>
      </c>
    </row>
    <row r="16">
      <c r="A16">
        <f>IF(COUNT('Custom lights'!$B$8:$B$88)&gt;0,'Custom lights'!$B$4,"")</f>
        <v/>
      </c>
      <c r="B16">
        <f>IFERROR(Custom1!$B$6,"")</f>
        <v/>
      </c>
      <c r="C16">
        <f>IFERROR(Custom1!$C$6,"")</f>
        <v/>
      </c>
      <c r="D16">
        <f>IFERROR(Custom1!$D$6,"")</f>
        <v/>
      </c>
      <c r="E16">
        <f>IFERROR(Custom1!$B$59,"")</f>
        <v/>
      </c>
      <c r="F16">
        <f>IFERROR(Custom1!$C$59,"")</f>
        <v/>
      </c>
      <c r="G16">
        <f>IFERROR(Custom1!$D$59,"")</f>
        <v/>
      </c>
      <c r="H16">
        <f>IFERROR(Custom1!$B$60,"")</f>
        <v/>
      </c>
      <c r="I16">
        <f>IFERROR(Custom1!$C$60,"")</f>
        <v/>
      </c>
      <c r="J16">
        <f>IFERROR(Custom1!$D$60,"")</f>
        <v/>
      </c>
      <c r="K16">
        <f>IFERROR(Custom1!$B$61,"")</f>
        <v/>
      </c>
      <c r="L16">
        <f>IFERROR(Custom1!$C$61,"")</f>
        <v/>
      </c>
      <c r="M16">
        <f>IFERROR(Custom1!$D$61,"")</f>
        <v/>
      </c>
    </row>
    <row r="17">
      <c r="A17">
        <f>IF(COUNT('Custom lights'!$C$8:$C$88)&gt;0,'Custom lights'!$C$4,"")</f>
        <v/>
      </c>
      <c r="B17">
        <f>IFERROR(Custom2!$B$6,"")</f>
        <v/>
      </c>
      <c r="C17">
        <f>IFERROR(Custom2!$C$6,"")</f>
        <v/>
      </c>
      <c r="D17">
        <f>IFERROR(Custom2!$D$6,"")</f>
        <v/>
      </c>
      <c r="E17">
        <f>IFERROR(Custom2!$B$59,"")</f>
        <v/>
      </c>
      <c r="F17">
        <f>IFERROR(Custom2!$C$59,"")</f>
        <v/>
      </c>
      <c r="G17">
        <f>IFERROR(Custom2!$D$59,"")</f>
        <v/>
      </c>
      <c r="H17">
        <f>IFERROR(Custom2!$B$60,"")</f>
        <v/>
      </c>
      <c r="I17">
        <f>IFERROR(Custom2!$C$60,"")</f>
        <v/>
      </c>
      <c r="J17">
        <f>IFERROR(Custom2!$D$60,"")</f>
        <v/>
      </c>
      <c r="K17">
        <f>IFERROR(Custom2!$B$61,"")</f>
        <v/>
      </c>
      <c r="L17">
        <f>IFERROR(Custom2!$C$61,"")</f>
        <v/>
      </c>
      <c r="M17">
        <f>IFERROR(Custom2!$D$61,"")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6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</t>
        </is>
      </c>
      <c r="B1" s="2" t="inlineStr">
        <is>
          <t>c</t>
        </is>
      </c>
      <c r="C1" s="2" t="inlineStr">
        <is>
          <t>mrow</t>
        </is>
      </c>
      <c r="D1" s="2" t="inlineStr">
        <is>
          <t>wcol</t>
        </is>
      </c>
      <c r="E1" s="2" t="inlineStr">
        <is>
          <t>X</t>
        </is>
      </c>
      <c r="F1" s="2" t="inlineStr">
        <is>
          <t>Y</t>
        </is>
      </c>
      <c r="G1" s="2" t="inlineStr">
        <is>
          <t>Z</t>
        </is>
      </c>
      <c r="H1" s="2" t="inlineStr">
        <is>
          <t>W</t>
        </is>
      </c>
      <c r="I1" s="2" t="inlineStr">
        <is>
          <t>p</t>
        </is>
      </c>
      <c r="J1" s="2" t="inlineStr">
        <is>
          <t>t</t>
        </is>
      </c>
      <c r="K1" s="2" t="inlineStr">
        <is>
          <t>C</t>
        </is>
      </c>
      <c r="L1" s="2" t="inlineStr">
        <is>
          <t>h</t>
        </is>
      </c>
      <c r="M1" s="2" t="inlineStr">
        <is>
          <t>Wlin</t>
        </is>
      </c>
      <c r="N1" s="2" t="inlineStr">
        <is>
          <t>sc</t>
        </is>
      </c>
      <c r="O1" s="2" t="inlineStr">
        <is>
          <t>C1</t>
        </is>
      </c>
      <c r="P1" s="2" t="inlineStr">
        <is>
          <t>r</t>
        </is>
      </c>
      <c r="Q1" s="2" t="inlineStr">
        <is>
          <t>b1</t>
        </is>
      </c>
      <c r="R1" s="2" t="inlineStr">
        <is>
          <t>b2</t>
        </is>
      </c>
      <c r="S1" s="2" t="inlineStr">
        <is>
          <t>C2</t>
        </is>
      </c>
      <c r="T1" s="2" t="inlineStr">
        <is>
          <t>Lw</t>
        </is>
      </c>
      <c r="U1" s="2" t="inlineStr">
        <is>
          <t>aw</t>
        </is>
      </c>
      <c r="V1" s="2" t="inlineStr">
        <is>
          <t>bw</t>
        </is>
      </c>
      <c r="W1" s="2" t="inlineStr">
        <is>
          <t>fx</t>
        </is>
      </c>
      <c r="X1" s="2" t="inlineStr">
        <is>
          <t>fy</t>
        </is>
      </c>
      <c r="Y1" s="2" t="inlineStr">
        <is>
          <t>fz</t>
        </is>
      </c>
      <c r="Z1" s="2" t="inlineStr">
        <is>
          <t>L</t>
        </is>
      </c>
      <c r="AA1" s="2" t="inlineStr">
        <is>
          <t>a</t>
        </is>
      </c>
      <c r="AB1" s="2" t="inlineStr">
        <is>
          <t>b</t>
        </is>
      </c>
      <c r="AE1" t="inlineStr">
        <is>
          <t>One row per sample (s) and condition (c). Row for sample s, condition c = 1 + (s-1)*6 + c.</t>
        </is>
      </c>
    </row>
    <row r="2">
      <c r="A2" t="n">
        <v>1</v>
      </c>
      <c r="B2" t="n">
        <v>1</v>
      </c>
      <c r="C2">
        <f>IF(AND(Report!$C$6&lt;&gt;"",COUNT(Spectra!$B$5:$B$40)&gt;0),MATCH(Report!$C$6,Matrices!$A$2:$A$17,0),"")</f>
        <v/>
      </c>
      <c r="D2">
        <f>IF(AND(Report!$C$6&lt;&gt;"",COUNT(Spectra!$B$5:$B$40)&gt;0),MATCH(Report!$C$6,Weights!$B$3:$AW$3,0),"")</f>
        <v/>
      </c>
      <c r="E2">
        <f>IF(AND(Report!$C$6&lt;&gt;"",COUNT(Spectra!$B$5:$B$40)&gt;0),SUMPRODUCT(Spectra!$B$5:$B$40,INDEX(Weights!$B$5:$AW$40,0,D2+0))/Spectra!$N$5,"")</f>
        <v/>
      </c>
      <c r="F2">
        <f>IF(AND(Report!$C$6&lt;&gt;"",COUNT(Spectra!$B$5:$B$40)&gt;0),SUMPRODUCT(Spectra!$B$5:$B$40,INDEX(Weights!$B$5:$AW$40,0,D2+1))/Spectra!$N$5,"")</f>
        <v/>
      </c>
      <c r="G2">
        <f>IF(AND(Report!$C$6&lt;&gt;"",COUNT(Spectra!$B$5:$B$40)&gt;0),SUMPRODUCT(Spectra!$B$5:$B$40,INDEX(Weights!$B$5:$AW$40,0,D2+2))/Spectra!$N$5,"")</f>
        <v/>
      </c>
      <c r="H2">
        <f>IF(AND(Report!$C$6&lt;&gt;"",COUNT(Spectra!$B$5:$B$40)&gt;0),INDEX(Matrices!$E$2:$E$17,C2)*E2+INDEX(Matrices!$F$2:$F$17,C2)*F2+INDEX(Matrices!$G$2:$G$17,C2)*G2,"")</f>
        <v/>
      </c>
      <c r="I2">
        <f>IF(AND(Report!$C$6&lt;&gt;"",COUNT(Spectra!$B$5:$B$40)&gt;0),INDEX(Matrices!$H$2:$H$17,C2)*E2+INDEX(Matrices!$I$2:$I$17,C2)*F2+INDEX(Matrices!$J$2:$J$17,C2)*G2,"")</f>
        <v/>
      </c>
      <c r="J2">
        <f>IF(AND(Report!$C$6&lt;&gt;"",COUNT(Spectra!$B$5:$B$40)&gt;0),INDEX(Matrices!$K$2:$K$17,C2)*E2+INDEX(Matrices!$L$2:$L$17,C2)*F2+INDEX(Matrices!$M$2:$M$17,C2)*G2,"")</f>
        <v/>
      </c>
      <c r="K2">
        <f>IF(AND(Report!$C$6&lt;&gt;"",COUNT(Spectra!$B$5:$B$40)&gt;0),SQRT(I2^2+J2^2),"")</f>
        <v/>
      </c>
      <c r="L2">
        <f>IF(AND(Report!$C$6&lt;&gt;"",COUNT(Spectra!$B$5:$B$40)&gt;0),IF(K2=0,0,MOD(DEGREES(ATAN2(I2,J2)),360)),"")</f>
        <v/>
      </c>
      <c r="M2">
        <f>IF(AND(Report!$C$6&lt;&gt;"",COUNT(Spectra!$B$5:$B$40)&gt;0),IF(H2/100&gt;(6/29)^3,(H2/100)^(1/3),(1/3)*(29/6)^2*H2/100+16/116)*116-16,"")</f>
        <v/>
      </c>
      <c r="N2">
        <f>IF(AND(Report!$C$6&lt;&gt;"",COUNT(Spectra!$B$5:$B$40)&gt;0),EXP(0.026742553710937*(M2-51.576165618406904))/0.45888671875,"")</f>
        <v/>
      </c>
      <c r="O2">
        <f>IF(AND(Report!$C$6&lt;&gt;"",COUNT(Spectra!$B$5:$B$40)&gt;0),K2/N2,"")</f>
        <v/>
      </c>
      <c r="P2">
        <f>IF(AND(Report!$C$6&lt;&gt;"",COUNT(Spectra!$B$5:$B$40)&gt;0),IF(AND(L2&gt;1,L2&lt;181),SIN(RADIANS(L2-1))^3,0)+IF(AND(L2&gt;104,L2&lt;284),0.39*COS(RADIANS(L2-14))^2,0),"")</f>
        <v/>
      </c>
      <c r="Q2">
        <f>IF(AND(Report!$C$6&lt;&gt;"",COUNT(Spectra!$B$5:$B$40)&gt;0),62*(P2+0.31),"")</f>
        <v/>
      </c>
      <c r="R2">
        <f>IF(AND(Report!$C$6&lt;&gt;"",COUNT(Spectra!$B$5:$B$40)&gt;0),0.36*(P2+0.19),"")</f>
        <v/>
      </c>
      <c r="S2">
        <f>IF(AND(Report!$C$6&lt;&gt;"",COUNT(Spectra!$B$5:$B$40)&gt;0),Q2*(LN(O2/80+R2)-LN(R2)),"")</f>
        <v/>
      </c>
      <c r="T2">
        <f>IF(AND(Report!$C$6&lt;&gt;"",COUNT(Spectra!$B$5:$B$40)&gt;0),M2,"")</f>
        <v/>
      </c>
      <c r="U2">
        <f>IF(AND(Report!$C$6&lt;&gt;"",COUNT(Spectra!$B$5:$B$40)&gt;0),S2*COS(RADIANS(L2)),"")</f>
        <v/>
      </c>
      <c r="V2">
        <f>IF(AND(Report!$C$6&lt;&gt;"",COUNT(Spectra!$B$5:$B$40)&gt;0),S2*SIN(RADIANS(L2)),"")</f>
        <v/>
      </c>
      <c r="W2">
        <f>IF(AND(Report!$C$6&lt;&gt;"",COUNT(Spectra!$B$5:$B$40)&gt;0),IF(E2/INDEX(Matrices!$B$2:$B$17,C2)&gt;0.008856,(E2/INDEX(Matrices!$B$2:$B$17,C2))^(1/3),7.787*E2/INDEX(Matrices!$B$2:$B$17,C2)+16/116),"")</f>
        <v/>
      </c>
      <c r="X2">
        <f>IF(AND(Report!$C$6&lt;&gt;"",COUNT(Spectra!$B$5:$B$40)&gt;0),IF(F2/INDEX(Matrices!$C$2:$C$17,C2)&gt;0.008856,(F2/INDEX(Matrices!$C$2:$C$17,C2))^(1/3),7.787*F2/INDEX(Matrices!$C$2:$C$17,C2)+16/116),"")</f>
        <v/>
      </c>
      <c r="Y2">
        <f>IF(AND(Report!$C$6&lt;&gt;"",COUNT(Spectra!$B$5:$B$40)&gt;0),IF(G2/INDEX(Matrices!$D$2:$D$17,C2)&gt;0.008856,(G2/INDEX(Matrices!$D$2:$D$17,C2))^(1/3),7.787*G2/INDEX(Matrices!$D$2:$D$17,C2)+16/116),"")</f>
        <v/>
      </c>
      <c r="Z2">
        <f>IF(AND(Report!$C$6&lt;&gt;"",COUNT(Spectra!$B$5:$B$40)&gt;0),116*X2-16,"")</f>
        <v/>
      </c>
      <c r="AA2">
        <f>IF(AND(Report!$C$6&lt;&gt;"",COUNT(Spectra!$B$5:$B$40)&gt;0),500*(W2-X2),"")</f>
        <v/>
      </c>
      <c r="AB2">
        <f>IF(AND(Report!$C$6&lt;&gt;"",COUNT(Spectra!$B$5:$B$40)&gt;0),200*(X2-Y2),"")</f>
        <v/>
      </c>
    </row>
    <row r="3">
      <c r="A3" t="n">
        <v>1</v>
      </c>
      <c r="B3" t="n">
        <v>2</v>
      </c>
      <c r="C3">
        <f>IF(AND(Report!$D$6&lt;&gt;"",COUNT(Spectra!$B$5:$B$40)&gt;0),MATCH(Report!$D$6,Matrices!$A$2:$A$17,0),"")</f>
        <v/>
      </c>
      <c r="D3">
        <f>IF(AND(Report!$D$6&lt;&gt;"",COUNT(Spectra!$B$5:$B$40)&gt;0),MATCH(Report!$D$6,Weights!$B$3:$AW$3,0),"")</f>
        <v/>
      </c>
      <c r="E3">
        <f>IF(AND(Report!$D$6&lt;&gt;"",COUNT(Spectra!$B$5:$B$40)&gt;0),SUMPRODUCT(Spectra!$B$5:$B$40,INDEX(Weights!$B$5:$AW$40,0,D3+0))/Spectra!$N$5,"")</f>
        <v/>
      </c>
      <c r="F3">
        <f>IF(AND(Report!$D$6&lt;&gt;"",COUNT(Spectra!$B$5:$B$40)&gt;0),SUMPRODUCT(Spectra!$B$5:$B$40,INDEX(Weights!$B$5:$AW$40,0,D3+1))/Spectra!$N$5,"")</f>
        <v/>
      </c>
      <c r="G3">
        <f>IF(AND(Report!$D$6&lt;&gt;"",COUNT(Spectra!$B$5:$B$40)&gt;0),SUMPRODUCT(Spectra!$B$5:$B$40,INDEX(Weights!$B$5:$AW$40,0,D3+2))/Spectra!$N$5,"")</f>
        <v/>
      </c>
      <c r="H3">
        <f>IF(AND(Report!$D$6&lt;&gt;"",COUNT(Spectra!$B$5:$B$40)&gt;0),INDEX(Matrices!$E$2:$E$17,C3)*E3+INDEX(Matrices!$F$2:$F$17,C3)*F3+INDEX(Matrices!$G$2:$G$17,C3)*G3,"")</f>
        <v/>
      </c>
      <c r="I3">
        <f>IF(AND(Report!$D$6&lt;&gt;"",COUNT(Spectra!$B$5:$B$40)&gt;0),INDEX(Matrices!$H$2:$H$17,C3)*E3+INDEX(Matrices!$I$2:$I$17,C3)*F3+INDEX(Matrices!$J$2:$J$17,C3)*G3,"")</f>
        <v/>
      </c>
      <c r="J3">
        <f>IF(AND(Report!$D$6&lt;&gt;"",COUNT(Spectra!$B$5:$B$40)&gt;0),INDEX(Matrices!$K$2:$K$17,C3)*E3+INDEX(Matrices!$L$2:$L$17,C3)*F3+INDEX(Matrices!$M$2:$M$17,C3)*G3,"")</f>
        <v/>
      </c>
      <c r="K3">
        <f>IF(AND(Report!$D$6&lt;&gt;"",COUNT(Spectra!$B$5:$B$40)&gt;0),SQRT(I3^2+J3^2),"")</f>
        <v/>
      </c>
      <c r="L3">
        <f>IF(AND(Report!$D$6&lt;&gt;"",COUNT(Spectra!$B$5:$B$40)&gt;0),IF(K3=0,0,MOD(DEGREES(ATAN2(I3,J3)),360)),"")</f>
        <v/>
      </c>
      <c r="M3">
        <f>IF(AND(Report!$D$6&lt;&gt;"",COUNT(Spectra!$B$5:$B$40)&gt;0),IF(H3/100&gt;(6/29)^3,(H3/100)^(1/3),(1/3)*(29/6)^2*H3/100+16/116)*116-16,"")</f>
        <v/>
      </c>
      <c r="N3">
        <f>IF(AND(Report!$D$6&lt;&gt;"",COUNT(Spectra!$B$5:$B$40)&gt;0),EXP(0.026742553710937*(M3-51.576165618406904))/0.45888671875,"")</f>
        <v/>
      </c>
      <c r="O3">
        <f>IF(AND(Report!$D$6&lt;&gt;"",COUNT(Spectra!$B$5:$B$40)&gt;0),K3/N3,"")</f>
        <v/>
      </c>
      <c r="P3">
        <f>IF(AND(Report!$D$6&lt;&gt;"",COUNT(Spectra!$B$5:$B$40)&gt;0),IF(AND(L3&gt;1,L3&lt;181),SIN(RADIANS(L3-1))^3,0)+IF(AND(L3&gt;104,L3&lt;284),0.39*COS(RADIANS(L3-14))^2,0),"")</f>
        <v/>
      </c>
      <c r="Q3">
        <f>IF(AND(Report!$D$6&lt;&gt;"",COUNT(Spectra!$B$5:$B$40)&gt;0),62*(P3+0.31),"")</f>
        <v/>
      </c>
      <c r="R3">
        <f>IF(AND(Report!$D$6&lt;&gt;"",COUNT(Spectra!$B$5:$B$40)&gt;0),0.36*(P3+0.19),"")</f>
        <v/>
      </c>
      <c r="S3">
        <f>IF(AND(Report!$D$6&lt;&gt;"",COUNT(Spectra!$B$5:$B$40)&gt;0),Q3*(LN(O3/80+R3)-LN(R3)),"")</f>
        <v/>
      </c>
      <c r="T3">
        <f>IF(AND(Report!$D$6&lt;&gt;"",COUNT(Spectra!$B$5:$B$40)&gt;0),M3,"")</f>
        <v/>
      </c>
      <c r="U3">
        <f>IF(AND(Report!$D$6&lt;&gt;"",COUNT(Spectra!$B$5:$B$40)&gt;0),S3*COS(RADIANS(L3)),"")</f>
        <v/>
      </c>
      <c r="V3">
        <f>IF(AND(Report!$D$6&lt;&gt;"",COUNT(Spectra!$B$5:$B$40)&gt;0),S3*SIN(RADIANS(L3)),"")</f>
        <v/>
      </c>
      <c r="W3">
        <f>IF(AND(Report!$D$6&lt;&gt;"",COUNT(Spectra!$B$5:$B$40)&gt;0),IF(E3/INDEX(Matrices!$B$2:$B$17,C3)&gt;0.008856,(E3/INDEX(Matrices!$B$2:$B$17,C3))^(1/3),7.787*E3/INDEX(Matrices!$B$2:$B$17,C3)+16/116),"")</f>
        <v/>
      </c>
      <c r="X3">
        <f>IF(AND(Report!$D$6&lt;&gt;"",COUNT(Spectra!$B$5:$B$40)&gt;0),IF(F3/INDEX(Matrices!$C$2:$C$17,C3)&gt;0.008856,(F3/INDEX(Matrices!$C$2:$C$17,C3))^(1/3),7.787*F3/INDEX(Matrices!$C$2:$C$17,C3)+16/116),"")</f>
        <v/>
      </c>
      <c r="Y3">
        <f>IF(AND(Report!$D$6&lt;&gt;"",COUNT(Spectra!$B$5:$B$40)&gt;0),IF(G3/INDEX(Matrices!$D$2:$D$17,C3)&gt;0.008856,(G3/INDEX(Matrices!$D$2:$D$17,C3))^(1/3),7.787*G3/INDEX(Matrices!$D$2:$D$17,C3)+16/116),"")</f>
        <v/>
      </c>
      <c r="Z3">
        <f>IF(AND(Report!$D$6&lt;&gt;"",COUNT(Spectra!$B$5:$B$40)&gt;0),116*X3-16,"")</f>
        <v/>
      </c>
      <c r="AA3">
        <f>IF(AND(Report!$D$6&lt;&gt;"",COUNT(Spectra!$B$5:$B$40)&gt;0),500*(W3-X3),"")</f>
        <v/>
      </c>
      <c r="AB3">
        <f>IF(AND(Report!$D$6&lt;&gt;"",COUNT(Spectra!$B$5:$B$40)&gt;0),200*(X3-Y3),"")</f>
        <v/>
      </c>
    </row>
    <row r="4">
      <c r="A4" t="n">
        <v>1</v>
      </c>
      <c r="B4" t="n">
        <v>3</v>
      </c>
      <c r="C4">
        <f>IF(AND(Report!$E$6&lt;&gt;"",COUNT(Spectra!$B$5:$B$40)&gt;0),MATCH(Report!$E$6,Matrices!$A$2:$A$17,0),"")</f>
        <v/>
      </c>
      <c r="D4">
        <f>IF(AND(Report!$E$6&lt;&gt;"",COUNT(Spectra!$B$5:$B$40)&gt;0),MATCH(Report!$E$6,Weights!$B$3:$AW$3,0),"")</f>
        <v/>
      </c>
      <c r="E4">
        <f>IF(AND(Report!$E$6&lt;&gt;"",COUNT(Spectra!$B$5:$B$40)&gt;0),SUMPRODUCT(Spectra!$B$5:$B$40,INDEX(Weights!$B$5:$AW$40,0,D4+0))/Spectra!$N$5,"")</f>
        <v/>
      </c>
      <c r="F4">
        <f>IF(AND(Report!$E$6&lt;&gt;"",COUNT(Spectra!$B$5:$B$40)&gt;0),SUMPRODUCT(Spectra!$B$5:$B$40,INDEX(Weights!$B$5:$AW$40,0,D4+1))/Spectra!$N$5,"")</f>
        <v/>
      </c>
      <c r="G4">
        <f>IF(AND(Report!$E$6&lt;&gt;"",COUNT(Spectra!$B$5:$B$40)&gt;0),SUMPRODUCT(Spectra!$B$5:$B$40,INDEX(Weights!$B$5:$AW$40,0,D4+2))/Spectra!$N$5,"")</f>
        <v/>
      </c>
      <c r="H4">
        <f>IF(AND(Report!$E$6&lt;&gt;"",COUNT(Spectra!$B$5:$B$40)&gt;0),INDEX(Matrices!$E$2:$E$17,C4)*E4+INDEX(Matrices!$F$2:$F$17,C4)*F4+INDEX(Matrices!$G$2:$G$17,C4)*G4,"")</f>
        <v/>
      </c>
      <c r="I4">
        <f>IF(AND(Report!$E$6&lt;&gt;"",COUNT(Spectra!$B$5:$B$40)&gt;0),INDEX(Matrices!$H$2:$H$17,C4)*E4+INDEX(Matrices!$I$2:$I$17,C4)*F4+INDEX(Matrices!$J$2:$J$17,C4)*G4,"")</f>
        <v/>
      </c>
      <c r="J4">
        <f>IF(AND(Report!$E$6&lt;&gt;"",COUNT(Spectra!$B$5:$B$40)&gt;0),INDEX(Matrices!$K$2:$K$17,C4)*E4+INDEX(Matrices!$L$2:$L$17,C4)*F4+INDEX(Matrices!$M$2:$M$17,C4)*G4,"")</f>
        <v/>
      </c>
      <c r="K4">
        <f>IF(AND(Report!$E$6&lt;&gt;"",COUNT(Spectra!$B$5:$B$40)&gt;0),SQRT(I4^2+J4^2),"")</f>
        <v/>
      </c>
      <c r="L4">
        <f>IF(AND(Report!$E$6&lt;&gt;"",COUNT(Spectra!$B$5:$B$40)&gt;0),IF(K4=0,0,MOD(DEGREES(ATAN2(I4,J4)),360)),"")</f>
        <v/>
      </c>
      <c r="M4">
        <f>IF(AND(Report!$E$6&lt;&gt;"",COUNT(Spectra!$B$5:$B$40)&gt;0),IF(H4/100&gt;(6/29)^3,(H4/100)^(1/3),(1/3)*(29/6)^2*H4/100+16/116)*116-16,"")</f>
        <v/>
      </c>
      <c r="N4">
        <f>IF(AND(Report!$E$6&lt;&gt;"",COUNT(Spectra!$B$5:$B$40)&gt;0),EXP(0.026742553710937*(M4-51.576165618406904))/0.45888671875,"")</f>
        <v/>
      </c>
      <c r="O4">
        <f>IF(AND(Report!$E$6&lt;&gt;"",COUNT(Spectra!$B$5:$B$40)&gt;0),K4/N4,"")</f>
        <v/>
      </c>
      <c r="P4">
        <f>IF(AND(Report!$E$6&lt;&gt;"",COUNT(Spectra!$B$5:$B$40)&gt;0),IF(AND(L4&gt;1,L4&lt;181),SIN(RADIANS(L4-1))^3,0)+IF(AND(L4&gt;104,L4&lt;284),0.39*COS(RADIANS(L4-14))^2,0),"")</f>
        <v/>
      </c>
      <c r="Q4">
        <f>IF(AND(Report!$E$6&lt;&gt;"",COUNT(Spectra!$B$5:$B$40)&gt;0),62*(P4+0.31),"")</f>
        <v/>
      </c>
      <c r="R4">
        <f>IF(AND(Report!$E$6&lt;&gt;"",COUNT(Spectra!$B$5:$B$40)&gt;0),0.36*(P4+0.19),"")</f>
        <v/>
      </c>
      <c r="S4">
        <f>IF(AND(Report!$E$6&lt;&gt;"",COUNT(Spectra!$B$5:$B$40)&gt;0),Q4*(LN(O4/80+R4)-LN(R4)),"")</f>
        <v/>
      </c>
      <c r="T4">
        <f>IF(AND(Report!$E$6&lt;&gt;"",COUNT(Spectra!$B$5:$B$40)&gt;0),M4,"")</f>
        <v/>
      </c>
      <c r="U4">
        <f>IF(AND(Report!$E$6&lt;&gt;"",COUNT(Spectra!$B$5:$B$40)&gt;0),S4*COS(RADIANS(L4)),"")</f>
        <v/>
      </c>
      <c r="V4">
        <f>IF(AND(Report!$E$6&lt;&gt;"",COUNT(Spectra!$B$5:$B$40)&gt;0),S4*SIN(RADIANS(L4)),"")</f>
        <v/>
      </c>
      <c r="W4">
        <f>IF(AND(Report!$E$6&lt;&gt;"",COUNT(Spectra!$B$5:$B$40)&gt;0),IF(E4/INDEX(Matrices!$B$2:$B$17,C4)&gt;0.008856,(E4/INDEX(Matrices!$B$2:$B$17,C4))^(1/3),7.787*E4/INDEX(Matrices!$B$2:$B$17,C4)+16/116),"")</f>
        <v/>
      </c>
      <c r="X4">
        <f>IF(AND(Report!$E$6&lt;&gt;"",COUNT(Spectra!$B$5:$B$40)&gt;0),IF(F4/INDEX(Matrices!$C$2:$C$17,C4)&gt;0.008856,(F4/INDEX(Matrices!$C$2:$C$17,C4))^(1/3),7.787*F4/INDEX(Matrices!$C$2:$C$17,C4)+16/116),"")</f>
        <v/>
      </c>
      <c r="Y4">
        <f>IF(AND(Report!$E$6&lt;&gt;"",COUNT(Spectra!$B$5:$B$40)&gt;0),IF(G4/INDEX(Matrices!$D$2:$D$17,C4)&gt;0.008856,(G4/INDEX(Matrices!$D$2:$D$17,C4))^(1/3),7.787*G4/INDEX(Matrices!$D$2:$D$17,C4)+16/116),"")</f>
        <v/>
      </c>
      <c r="Z4">
        <f>IF(AND(Report!$E$6&lt;&gt;"",COUNT(Spectra!$B$5:$B$40)&gt;0),116*X4-16,"")</f>
        <v/>
      </c>
      <c r="AA4">
        <f>IF(AND(Report!$E$6&lt;&gt;"",COUNT(Spectra!$B$5:$B$40)&gt;0),500*(W4-X4),"")</f>
        <v/>
      </c>
      <c r="AB4">
        <f>IF(AND(Report!$E$6&lt;&gt;"",COUNT(Spectra!$B$5:$B$40)&gt;0),200*(X4-Y4),"")</f>
        <v/>
      </c>
    </row>
    <row r="5">
      <c r="A5" t="n">
        <v>1</v>
      </c>
      <c r="B5" t="n">
        <v>4</v>
      </c>
      <c r="C5">
        <f>IF(AND(Report!$F$6&lt;&gt;"",COUNT(Spectra!$B$5:$B$40)&gt;0),MATCH(Report!$F$6,Matrices!$A$2:$A$17,0),"")</f>
        <v/>
      </c>
      <c r="D5">
        <f>IF(AND(Report!$F$6&lt;&gt;"",COUNT(Spectra!$B$5:$B$40)&gt;0),MATCH(Report!$F$6,Weights!$B$3:$AW$3,0),"")</f>
        <v/>
      </c>
      <c r="E5">
        <f>IF(AND(Report!$F$6&lt;&gt;"",COUNT(Spectra!$B$5:$B$40)&gt;0),SUMPRODUCT(Spectra!$B$5:$B$40,INDEX(Weights!$B$5:$AW$40,0,D5+0))/Spectra!$N$5,"")</f>
        <v/>
      </c>
      <c r="F5">
        <f>IF(AND(Report!$F$6&lt;&gt;"",COUNT(Spectra!$B$5:$B$40)&gt;0),SUMPRODUCT(Spectra!$B$5:$B$40,INDEX(Weights!$B$5:$AW$40,0,D5+1))/Spectra!$N$5,"")</f>
        <v/>
      </c>
      <c r="G5">
        <f>IF(AND(Report!$F$6&lt;&gt;"",COUNT(Spectra!$B$5:$B$40)&gt;0),SUMPRODUCT(Spectra!$B$5:$B$40,INDEX(Weights!$B$5:$AW$40,0,D5+2))/Spectra!$N$5,"")</f>
        <v/>
      </c>
      <c r="H5">
        <f>IF(AND(Report!$F$6&lt;&gt;"",COUNT(Spectra!$B$5:$B$40)&gt;0),INDEX(Matrices!$E$2:$E$17,C5)*E5+INDEX(Matrices!$F$2:$F$17,C5)*F5+INDEX(Matrices!$G$2:$G$17,C5)*G5,"")</f>
        <v/>
      </c>
      <c r="I5">
        <f>IF(AND(Report!$F$6&lt;&gt;"",COUNT(Spectra!$B$5:$B$40)&gt;0),INDEX(Matrices!$H$2:$H$17,C5)*E5+INDEX(Matrices!$I$2:$I$17,C5)*F5+INDEX(Matrices!$J$2:$J$17,C5)*G5,"")</f>
        <v/>
      </c>
      <c r="J5">
        <f>IF(AND(Report!$F$6&lt;&gt;"",COUNT(Spectra!$B$5:$B$40)&gt;0),INDEX(Matrices!$K$2:$K$17,C5)*E5+INDEX(Matrices!$L$2:$L$17,C5)*F5+INDEX(Matrices!$M$2:$M$17,C5)*G5,"")</f>
        <v/>
      </c>
      <c r="K5">
        <f>IF(AND(Report!$F$6&lt;&gt;"",COUNT(Spectra!$B$5:$B$40)&gt;0),SQRT(I5^2+J5^2),"")</f>
        <v/>
      </c>
      <c r="L5">
        <f>IF(AND(Report!$F$6&lt;&gt;"",COUNT(Spectra!$B$5:$B$40)&gt;0),IF(K5=0,0,MOD(DEGREES(ATAN2(I5,J5)),360)),"")</f>
        <v/>
      </c>
      <c r="M5">
        <f>IF(AND(Report!$F$6&lt;&gt;"",COUNT(Spectra!$B$5:$B$40)&gt;0),IF(H5/100&gt;(6/29)^3,(H5/100)^(1/3),(1/3)*(29/6)^2*H5/100+16/116)*116-16,"")</f>
        <v/>
      </c>
      <c r="N5">
        <f>IF(AND(Report!$F$6&lt;&gt;"",COUNT(Spectra!$B$5:$B$40)&gt;0),EXP(0.026742553710937*(M5-51.576165618406904))/0.45888671875,"")</f>
        <v/>
      </c>
      <c r="O5">
        <f>IF(AND(Report!$F$6&lt;&gt;"",COUNT(Spectra!$B$5:$B$40)&gt;0),K5/N5,"")</f>
        <v/>
      </c>
      <c r="P5">
        <f>IF(AND(Report!$F$6&lt;&gt;"",COUNT(Spectra!$B$5:$B$40)&gt;0),IF(AND(L5&gt;1,L5&lt;181),SIN(RADIANS(L5-1))^3,0)+IF(AND(L5&gt;104,L5&lt;284),0.39*COS(RADIANS(L5-14))^2,0),"")</f>
        <v/>
      </c>
      <c r="Q5">
        <f>IF(AND(Report!$F$6&lt;&gt;"",COUNT(Spectra!$B$5:$B$40)&gt;0),62*(P5+0.31),"")</f>
        <v/>
      </c>
      <c r="R5">
        <f>IF(AND(Report!$F$6&lt;&gt;"",COUNT(Spectra!$B$5:$B$40)&gt;0),0.36*(P5+0.19),"")</f>
        <v/>
      </c>
      <c r="S5">
        <f>IF(AND(Report!$F$6&lt;&gt;"",COUNT(Spectra!$B$5:$B$40)&gt;0),Q5*(LN(O5/80+R5)-LN(R5)),"")</f>
        <v/>
      </c>
      <c r="T5">
        <f>IF(AND(Report!$F$6&lt;&gt;"",COUNT(Spectra!$B$5:$B$40)&gt;0),M5,"")</f>
        <v/>
      </c>
      <c r="U5">
        <f>IF(AND(Report!$F$6&lt;&gt;"",COUNT(Spectra!$B$5:$B$40)&gt;0),S5*COS(RADIANS(L5)),"")</f>
        <v/>
      </c>
      <c r="V5">
        <f>IF(AND(Report!$F$6&lt;&gt;"",COUNT(Spectra!$B$5:$B$40)&gt;0),S5*SIN(RADIANS(L5)),"")</f>
        <v/>
      </c>
      <c r="W5">
        <f>IF(AND(Report!$F$6&lt;&gt;"",COUNT(Spectra!$B$5:$B$40)&gt;0),IF(E5/INDEX(Matrices!$B$2:$B$17,C5)&gt;0.008856,(E5/INDEX(Matrices!$B$2:$B$17,C5))^(1/3),7.787*E5/INDEX(Matrices!$B$2:$B$17,C5)+16/116),"")</f>
        <v/>
      </c>
      <c r="X5">
        <f>IF(AND(Report!$F$6&lt;&gt;"",COUNT(Spectra!$B$5:$B$40)&gt;0),IF(F5/INDEX(Matrices!$C$2:$C$17,C5)&gt;0.008856,(F5/INDEX(Matrices!$C$2:$C$17,C5))^(1/3),7.787*F5/INDEX(Matrices!$C$2:$C$17,C5)+16/116),"")</f>
        <v/>
      </c>
      <c r="Y5">
        <f>IF(AND(Report!$F$6&lt;&gt;"",COUNT(Spectra!$B$5:$B$40)&gt;0),IF(G5/INDEX(Matrices!$D$2:$D$17,C5)&gt;0.008856,(G5/INDEX(Matrices!$D$2:$D$17,C5))^(1/3),7.787*G5/INDEX(Matrices!$D$2:$D$17,C5)+16/116),"")</f>
        <v/>
      </c>
      <c r="Z5">
        <f>IF(AND(Report!$F$6&lt;&gt;"",COUNT(Spectra!$B$5:$B$40)&gt;0),116*X5-16,"")</f>
        <v/>
      </c>
      <c r="AA5">
        <f>IF(AND(Report!$F$6&lt;&gt;"",COUNT(Spectra!$B$5:$B$40)&gt;0),500*(W5-X5),"")</f>
        <v/>
      </c>
      <c r="AB5">
        <f>IF(AND(Report!$F$6&lt;&gt;"",COUNT(Spectra!$B$5:$B$40)&gt;0),200*(X5-Y5),"")</f>
        <v/>
      </c>
    </row>
    <row r="6">
      <c r="A6" t="n">
        <v>1</v>
      </c>
      <c r="B6" t="n">
        <v>5</v>
      </c>
      <c r="C6">
        <f>IF(AND(Report!$G$6&lt;&gt;"",COUNT(Spectra!$B$5:$B$40)&gt;0),MATCH(Report!$G$6,Matrices!$A$2:$A$17,0),"")</f>
        <v/>
      </c>
      <c r="D6">
        <f>IF(AND(Report!$G$6&lt;&gt;"",COUNT(Spectra!$B$5:$B$40)&gt;0),MATCH(Report!$G$6,Weights!$B$3:$AW$3,0),"")</f>
        <v/>
      </c>
      <c r="E6">
        <f>IF(AND(Report!$G$6&lt;&gt;"",COUNT(Spectra!$B$5:$B$40)&gt;0),SUMPRODUCT(Spectra!$B$5:$B$40,INDEX(Weights!$B$5:$AW$40,0,D6+0))/Spectra!$N$5,"")</f>
        <v/>
      </c>
      <c r="F6">
        <f>IF(AND(Report!$G$6&lt;&gt;"",COUNT(Spectra!$B$5:$B$40)&gt;0),SUMPRODUCT(Spectra!$B$5:$B$40,INDEX(Weights!$B$5:$AW$40,0,D6+1))/Spectra!$N$5,"")</f>
        <v/>
      </c>
      <c r="G6">
        <f>IF(AND(Report!$G$6&lt;&gt;"",COUNT(Spectra!$B$5:$B$40)&gt;0),SUMPRODUCT(Spectra!$B$5:$B$40,INDEX(Weights!$B$5:$AW$40,0,D6+2))/Spectra!$N$5,"")</f>
        <v/>
      </c>
      <c r="H6">
        <f>IF(AND(Report!$G$6&lt;&gt;"",COUNT(Spectra!$B$5:$B$40)&gt;0),INDEX(Matrices!$E$2:$E$17,C6)*E6+INDEX(Matrices!$F$2:$F$17,C6)*F6+INDEX(Matrices!$G$2:$G$17,C6)*G6,"")</f>
        <v/>
      </c>
      <c r="I6">
        <f>IF(AND(Report!$G$6&lt;&gt;"",COUNT(Spectra!$B$5:$B$40)&gt;0),INDEX(Matrices!$H$2:$H$17,C6)*E6+INDEX(Matrices!$I$2:$I$17,C6)*F6+INDEX(Matrices!$J$2:$J$17,C6)*G6,"")</f>
        <v/>
      </c>
      <c r="J6">
        <f>IF(AND(Report!$G$6&lt;&gt;"",COUNT(Spectra!$B$5:$B$40)&gt;0),INDEX(Matrices!$K$2:$K$17,C6)*E6+INDEX(Matrices!$L$2:$L$17,C6)*F6+INDEX(Matrices!$M$2:$M$17,C6)*G6,"")</f>
        <v/>
      </c>
      <c r="K6">
        <f>IF(AND(Report!$G$6&lt;&gt;"",COUNT(Spectra!$B$5:$B$40)&gt;0),SQRT(I6^2+J6^2),"")</f>
        <v/>
      </c>
      <c r="L6">
        <f>IF(AND(Report!$G$6&lt;&gt;"",COUNT(Spectra!$B$5:$B$40)&gt;0),IF(K6=0,0,MOD(DEGREES(ATAN2(I6,J6)),360)),"")</f>
        <v/>
      </c>
      <c r="M6">
        <f>IF(AND(Report!$G$6&lt;&gt;"",COUNT(Spectra!$B$5:$B$40)&gt;0),IF(H6/100&gt;(6/29)^3,(H6/100)^(1/3),(1/3)*(29/6)^2*H6/100+16/116)*116-16,"")</f>
        <v/>
      </c>
      <c r="N6">
        <f>IF(AND(Report!$G$6&lt;&gt;"",COUNT(Spectra!$B$5:$B$40)&gt;0),EXP(0.026742553710937*(M6-51.576165618406904))/0.45888671875,"")</f>
        <v/>
      </c>
      <c r="O6">
        <f>IF(AND(Report!$G$6&lt;&gt;"",COUNT(Spectra!$B$5:$B$40)&gt;0),K6/N6,"")</f>
        <v/>
      </c>
      <c r="P6">
        <f>IF(AND(Report!$G$6&lt;&gt;"",COUNT(Spectra!$B$5:$B$40)&gt;0),IF(AND(L6&gt;1,L6&lt;181),SIN(RADIANS(L6-1))^3,0)+IF(AND(L6&gt;104,L6&lt;284),0.39*COS(RADIANS(L6-14))^2,0),"")</f>
        <v/>
      </c>
      <c r="Q6">
        <f>IF(AND(Report!$G$6&lt;&gt;"",COUNT(Spectra!$B$5:$B$40)&gt;0),62*(P6+0.31),"")</f>
        <v/>
      </c>
      <c r="R6">
        <f>IF(AND(Report!$G$6&lt;&gt;"",COUNT(Spectra!$B$5:$B$40)&gt;0),0.36*(P6+0.19),"")</f>
        <v/>
      </c>
      <c r="S6">
        <f>IF(AND(Report!$G$6&lt;&gt;"",COUNT(Spectra!$B$5:$B$40)&gt;0),Q6*(LN(O6/80+R6)-LN(R6)),"")</f>
        <v/>
      </c>
      <c r="T6">
        <f>IF(AND(Report!$G$6&lt;&gt;"",COUNT(Spectra!$B$5:$B$40)&gt;0),M6,"")</f>
        <v/>
      </c>
      <c r="U6">
        <f>IF(AND(Report!$G$6&lt;&gt;"",COUNT(Spectra!$B$5:$B$40)&gt;0),S6*COS(RADIANS(L6)),"")</f>
        <v/>
      </c>
      <c r="V6">
        <f>IF(AND(Report!$G$6&lt;&gt;"",COUNT(Spectra!$B$5:$B$40)&gt;0),S6*SIN(RADIANS(L6)),"")</f>
        <v/>
      </c>
      <c r="W6">
        <f>IF(AND(Report!$G$6&lt;&gt;"",COUNT(Spectra!$B$5:$B$40)&gt;0),IF(E6/INDEX(Matrices!$B$2:$B$17,C6)&gt;0.008856,(E6/INDEX(Matrices!$B$2:$B$17,C6))^(1/3),7.787*E6/INDEX(Matrices!$B$2:$B$17,C6)+16/116),"")</f>
        <v/>
      </c>
      <c r="X6">
        <f>IF(AND(Report!$G$6&lt;&gt;"",COUNT(Spectra!$B$5:$B$40)&gt;0),IF(F6/INDEX(Matrices!$C$2:$C$17,C6)&gt;0.008856,(F6/INDEX(Matrices!$C$2:$C$17,C6))^(1/3),7.787*F6/INDEX(Matrices!$C$2:$C$17,C6)+16/116),"")</f>
        <v/>
      </c>
      <c r="Y6">
        <f>IF(AND(Report!$G$6&lt;&gt;"",COUNT(Spectra!$B$5:$B$40)&gt;0),IF(G6/INDEX(Matrices!$D$2:$D$17,C6)&gt;0.008856,(G6/INDEX(Matrices!$D$2:$D$17,C6))^(1/3),7.787*G6/INDEX(Matrices!$D$2:$D$17,C6)+16/116),"")</f>
        <v/>
      </c>
      <c r="Z6">
        <f>IF(AND(Report!$G$6&lt;&gt;"",COUNT(Spectra!$B$5:$B$40)&gt;0),116*X6-16,"")</f>
        <v/>
      </c>
      <c r="AA6">
        <f>IF(AND(Report!$G$6&lt;&gt;"",COUNT(Spectra!$B$5:$B$40)&gt;0),500*(W6-X6),"")</f>
        <v/>
      </c>
      <c r="AB6">
        <f>IF(AND(Report!$G$6&lt;&gt;"",COUNT(Spectra!$B$5:$B$40)&gt;0),200*(X6-Y6),"")</f>
        <v/>
      </c>
    </row>
    <row r="7">
      <c r="A7" t="n">
        <v>1</v>
      </c>
      <c r="B7" t="n">
        <v>6</v>
      </c>
      <c r="C7">
        <f>IF(AND(Report!$H$6&lt;&gt;"",COUNT(Spectra!$B$5:$B$40)&gt;0),MATCH(Report!$H$6,Matrices!$A$2:$A$17,0),"")</f>
        <v/>
      </c>
      <c r="D7">
        <f>IF(AND(Report!$H$6&lt;&gt;"",COUNT(Spectra!$B$5:$B$40)&gt;0),MATCH(Report!$H$6,Weights!$B$3:$AW$3,0),"")</f>
        <v/>
      </c>
      <c r="E7">
        <f>IF(AND(Report!$H$6&lt;&gt;"",COUNT(Spectra!$B$5:$B$40)&gt;0),SUMPRODUCT(Spectra!$B$5:$B$40,INDEX(Weights!$B$5:$AW$40,0,D7+0))/Spectra!$N$5,"")</f>
        <v/>
      </c>
      <c r="F7">
        <f>IF(AND(Report!$H$6&lt;&gt;"",COUNT(Spectra!$B$5:$B$40)&gt;0),SUMPRODUCT(Spectra!$B$5:$B$40,INDEX(Weights!$B$5:$AW$40,0,D7+1))/Spectra!$N$5,"")</f>
        <v/>
      </c>
      <c r="G7">
        <f>IF(AND(Report!$H$6&lt;&gt;"",COUNT(Spectra!$B$5:$B$40)&gt;0),SUMPRODUCT(Spectra!$B$5:$B$40,INDEX(Weights!$B$5:$AW$40,0,D7+2))/Spectra!$N$5,"")</f>
        <v/>
      </c>
      <c r="H7">
        <f>IF(AND(Report!$H$6&lt;&gt;"",COUNT(Spectra!$B$5:$B$40)&gt;0),INDEX(Matrices!$E$2:$E$17,C7)*E7+INDEX(Matrices!$F$2:$F$17,C7)*F7+INDEX(Matrices!$G$2:$G$17,C7)*G7,"")</f>
        <v/>
      </c>
      <c r="I7">
        <f>IF(AND(Report!$H$6&lt;&gt;"",COUNT(Spectra!$B$5:$B$40)&gt;0),INDEX(Matrices!$H$2:$H$17,C7)*E7+INDEX(Matrices!$I$2:$I$17,C7)*F7+INDEX(Matrices!$J$2:$J$17,C7)*G7,"")</f>
        <v/>
      </c>
      <c r="J7">
        <f>IF(AND(Report!$H$6&lt;&gt;"",COUNT(Spectra!$B$5:$B$40)&gt;0),INDEX(Matrices!$K$2:$K$17,C7)*E7+INDEX(Matrices!$L$2:$L$17,C7)*F7+INDEX(Matrices!$M$2:$M$17,C7)*G7,"")</f>
        <v/>
      </c>
      <c r="K7">
        <f>IF(AND(Report!$H$6&lt;&gt;"",COUNT(Spectra!$B$5:$B$40)&gt;0),SQRT(I7^2+J7^2),"")</f>
        <v/>
      </c>
      <c r="L7">
        <f>IF(AND(Report!$H$6&lt;&gt;"",COUNT(Spectra!$B$5:$B$40)&gt;0),IF(K7=0,0,MOD(DEGREES(ATAN2(I7,J7)),360)),"")</f>
        <v/>
      </c>
      <c r="M7">
        <f>IF(AND(Report!$H$6&lt;&gt;"",COUNT(Spectra!$B$5:$B$40)&gt;0),IF(H7/100&gt;(6/29)^3,(H7/100)^(1/3),(1/3)*(29/6)^2*H7/100+16/116)*116-16,"")</f>
        <v/>
      </c>
      <c r="N7">
        <f>IF(AND(Report!$H$6&lt;&gt;"",COUNT(Spectra!$B$5:$B$40)&gt;0),EXP(0.026742553710937*(M7-51.576165618406904))/0.45888671875,"")</f>
        <v/>
      </c>
      <c r="O7">
        <f>IF(AND(Report!$H$6&lt;&gt;"",COUNT(Spectra!$B$5:$B$40)&gt;0),K7/N7,"")</f>
        <v/>
      </c>
      <c r="P7">
        <f>IF(AND(Report!$H$6&lt;&gt;"",COUNT(Spectra!$B$5:$B$40)&gt;0),IF(AND(L7&gt;1,L7&lt;181),SIN(RADIANS(L7-1))^3,0)+IF(AND(L7&gt;104,L7&lt;284),0.39*COS(RADIANS(L7-14))^2,0),"")</f>
        <v/>
      </c>
      <c r="Q7">
        <f>IF(AND(Report!$H$6&lt;&gt;"",COUNT(Spectra!$B$5:$B$40)&gt;0),62*(P7+0.31),"")</f>
        <v/>
      </c>
      <c r="R7">
        <f>IF(AND(Report!$H$6&lt;&gt;"",COUNT(Spectra!$B$5:$B$40)&gt;0),0.36*(P7+0.19),"")</f>
        <v/>
      </c>
      <c r="S7">
        <f>IF(AND(Report!$H$6&lt;&gt;"",COUNT(Spectra!$B$5:$B$40)&gt;0),Q7*(LN(O7/80+R7)-LN(R7)),"")</f>
        <v/>
      </c>
      <c r="T7">
        <f>IF(AND(Report!$H$6&lt;&gt;"",COUNT(Spectra!$B$5:$B$40)&gt;0),M7,"")</f>
        <v/>
      </c>
      <c r="U7">
        <f>IF(AND(Report!$H$6&lt;&gt;"",COUNT(Spectra!$B$5:$B$40)&gt;0),S7*COS(RADIANS(L7)),"")</f>
        <v/>
      </c>
      <c r="V7">
        <f>IF(AND(Report!$H$6&lt;&gt;"",COUNT(Spectra!$B$5:$B$40)&gt;0),S7*SIN(RADIANS(L7)),"")</f>
        <v/>
      </c>
      <c r="W7">
        <f>IF(AND(Report!$H$6&lt;&gt;"",COUNT(Spectra!$B$5:$B$40)&gt;0),IF(E7/INDEX(Matrices!$B$2:$B$17,C7)&gt;0.008856,(E7/INDEX(Matrices!$B$2:$B$17,C7))^(1/3),7.787*E7/INDEX(Matrices!$B$2:$B$17,C7)+16/116),"")</f>
        <v/>
      </c>
      <c r="X7">
        <f>IF(AND(Report!$H$6&lt;&gt;"",COUNT(Spectra!$B$5:$B$40)&gt;0),IF(F7/INDEX(Matrices!$C$2:$C$17,C7)&gt;0.008856,(F7/INDEX(Matrices!$C$2:$C$17,C7))^(1/3),7.787*F7/INDEX(Matrices!$C$2:$C$17,C7)+16/116),"")</f>
        <v/>
      </c>
      <c r="Y7">
        <f>IF(AND(Report!$H$6&lt;&gt;"",COUNT(Spectra!$B$5:$B$40)&gt;0),IF(G7/INDEX(Matrices!$D$2:$D$17,C7)&gt;0.008856,(G7/INDEX(Matrices!$D$2:$D$17,C7))^(1/3),7.787*G7/INDEX(Matrices!$D$2:$D$17,C7)+16/116),"")</f>
        <v/>
      </c>
      <c r="Z7">
        <f>IF(AND(Report!$H$6&lt;&gt;"",COUNT(Spectra!$B$5:$B$40)&gt;0),116*X7-16,"")</f>
        <v/>
      </c>
      <c r="AA7">
        <f>IF(AND(Report!$H$6&lt;&gt;"",COUNT(Spectra!$B$5:$B$40)&gt;0),500*(W7-X7),"")</f>
        <v/>
      </c>
      <c r="AB7">
        <f>IF(AND(Report!$H$6&lt;&gt;"",COUNT(Spectra!$B$5:$B$40)&gt;0),200*(X7-Y7),"")</f>
        <v/>
      </c>
    </row>
    <row r="8">
      <c r="A8" t="n">
        <v>2</v>
      </c>
      <c r="B8" t="n">
        <v>1</v>
      </c>
      <c r="C8">
        <f>IF(AND(Report!$C$6&lt;&gt;"",COUNT(Spectra!$C$5:$C$40)&gt;0),MATCH(Report!$C$6,Matrices!$A$2:$A$17,0),"")</f>
        <v/>
      </c>
      <c r="D8">
        <f>IF(AND(Report!$C$6&lt;&gt;"",COUNT(Spectra!$C$5:$C$40)&gt;0),MATCH(Report!$C$6,Weights!$B$3:$AW$3,0),"")</f>
        <v/>
      </c>
      <c r="E8">
        <f>IF(AND(Report!$C$6&lt;&gt;"",COUNT(Spectra!$C$5:$C$40)&gt;0),SUMPRODUCT(Spectra!$C$5:$C$40,INDEX(Weights!$B$5:$AW$40,0,D8+0))/Spectra!$N$5,"")</f>
        <v/>
      </c>
      <c r="F8">
        <f>IF(AND(Report!$C$6&lt;&gt;"",COUNT(Spectra!$C$5:$C$40)&gt;0),SUMPRODUCT(Spectra!$C$5:$C$40,INDEX(Weights!$B$5:$AW$40,0,D8+1))/Spectra!$N$5,"")</f>
        <v/>
      </c>
      <c r="G8">
        <f>IF(AND(Report!$C$6&lt;&gt;"",COUNT(Spectra!$C$5:$C$40)&gt;0),SUMPRODUCT(Spectra!$C$5:$C$40,INDEX(Weights!$B$5:$AW$40,0,D8+2))/Spectra!$N$5,"")</f>
        <v/>
      </c>
      <c r="H8">
        <f>IF(AND(Report!$C$6&lt;&gt;"",COUNT(Spectra!$C$5:$C$40)&gt;0),INDEX(Matrices!$E$2:$E$17,C8)*E8+INDEX(Matrices!$F$2:$F$17,C8)*F8+INDEX(Matrices!$G$2:$G$17,C8)*G8,"")</f>
        <v/>
      </c>
      <c r="I8">
        <f>IF(AND(Report!$C$6&lt;&gt;"",COUNT(Spectra!$C$5:$C$40)&gt;0),INDEX(Matrices!$H$2:$H$17,C8)*E8+INDEX(Matrices!$I$2:$I$17,C8)*F8+INDEX(Matrices!$J$2:$J$17,C8)*G8,"")</f>
        <v/>
      </c>
      <c r="J8">
        <f>IF(AND(Report!$C$6&lt;&gt;"",COUNT(Spectra!$C$5:$C$40)&gt;0),INDEX(Matrices!$K$2:$K$17,C8)*E8+INDEX(Matrices!$L$2:$L$17,C8)*F8+INDEX(Matrices!$M$2:$M$17,C8)*G8,"")</f>
        <v/>
      </c>
      <c r="K8">
        <f>IF(AND(Report!$C$6&lt;&gt;"",COUNT(Spectra!$C$5:$C$40)&gt;0),SQRT(I8^2+J8^2),"")</f>
        <v/>
      </c>
      <c r="L8">
        <f>IF(AND(Report!$C$6&lt;&gt;"",COUNT(Spectra!$C$5:$C$40)&gt;0),IF(K8=0,0,MOD(DEGREES(ATAN2(I8,J8)),360)),"")</f>
        <v/>
      </c>
      <c r="M8">
        <f>IF(AND(Report!$C$6&lt;&gt;"",COUNT(Spectra!$C$5:$C$40)&gt;0),IF(H8/100&gt;(6/29)^3,(H8/100)^(1/3),(1/3)*(29/6)^2*H8/100+16/116)*116-16,"")</f>
        <v/>
      </c>
      <c r="N8">
        <f>IF(AND(Report!$C$6&lt;&gt;"",COUNT(Spectra!$C$5:$C$40)&gt;0),EXP(0.026742553710937*(M8-51.576165618406904))/0.45888671875,"")</f>
        <v/>
      </c>
      <c r="O8">
        <f>IF(AND(Report!$C$6&lt;&gt;"",COUNT(Spectra!$C$5:$C$40)&gt;0),K8/N8,"")</f>
        <v/>
      </c>
      <c r="P8">
        <f>IF(AND(Report!$C$6&lt;&gt;"",COUNT(Spectra!$C$5:$C$40)&gt;0),IF(AND(L8&gt;1,L8&lt;181),SIN(RADIANS(L8-1))^3,0)+IF(AND(L8&gt;104,L8&lt;284),0.39*COS(RADIANS(L8-14))^2,0),"")</f>
        <v/>
      </c>
      <c r="Q8">
        <f>IF(AND(Report!$C$6&lt;&gt;"",COUNT(Spectra!$C$5:$C$40)&gt;0),62*(P8+0.31),"")</f>
        <v/>
      </c>
      <c r="R8">
        <f>IF(AND(Report!$C$6&lt;&gt;"",COUNT(Spectra!$C$5:$C$40)&gt;0),0.36*(P8+0.19),"")</f>
        <v/>
      </c>
      <c r="S8">
        <f>IF(AND(Report!$C$6&lt;&gt;"",COUNT(Spectra!$C$5:$C$40)&gt;0),Q8*(LN(O8/80+R8)-LN(R8)),"")</f>
        <v/>
      </c>
      <c r="T8">
        <f>IF(AND(Report!$C$6&lt;&gt;"",COUNT(Spectra!$C$5:$C$40)&gt;0),M8,"")</f>
        <v/>
      </c>
      <c r="U8">
        <f>IF(AND(Report!$C$6&lt;&gt;"",COUNT(Spectra!$C$5:$C$40)&gt;0),S8*COS(RADIANS(L8)),"")</f>
        <v/>
      </c>
      <c r="V8">
        <f>IF(AND(Report!$C$6&lt;&gt;"",COUNT(Spectra!$C$5:$C$40)&gt;0),S8*SIN(RADIANS(L8)),"")</f>
        <v/>
      </c>
      <c r="W8">
        <f>IF(AND(Report!$C$6&lt;&gt;"",COUNT(Spectra!$C$5:$C$40)&gt;0),IF(E8/INDEX(Matrices!$B$2:$B$17,C8)&gt;0.008856,(E8/INDEX(Matrices!$B$2:$B$17,C8))^(1/3),7.787*E8/INDEX(Matrices!$B$2:$B$17,C8)+16/116),"")</f>
        <v/>
      </c>
      <c r="X8">
        <f>IF(AND(Report!$C$6&lt;&gt;"",COUNT(Spectra!$C$5:$C$40)&gt;0),IF(F8/INDEX(Matrices!$C$2:$C$17,C8)&gt;0.008856,(F8/INDEX(Matrices!$C$2:$C$17,C8))^(1/3),7.787*F8/INDEX(Matrices!$C$2:$C$17,C8)+16/116),"")</f>
        <v/>
      </c>
      <c r="Y8">
        <f>IF(AND(Report!$C$6&lt;&gt;"",COUNT(Spectra!$C$5:$C$40)&gt;0),IF(G8/INDEX(Matrices!$D$2:$D$17,C8)&gt;0.008856,(G8/INDEX(Matrices!$D$2:$D$17,C8))^(1/3),7.787*G8/INDEX(Matrices!$D$2:$D$17,C8)+16/116),"")</f>
        <v/>
      </c>
      <c r="Z8">
        <f>IF(AND(Report!$C$6&lt;&gt;"",COUNT(Spectra!$C$5:$C$40)&gt;0),116*X8-16,"")</f>
        <v/>
      </c>
      <c r="AA8">
        <f>IF(AND(Report!$C$6&lt;&gt;"",COUNT(Spectra!$C$5:$C$40)&gt;0),500*(W8-X8),"")</f>
        <v/>
      </c>
      <c r="AB8">
        <f>IF(AND(Report!$C$6&lt;&gt;"",COUNT(Spectra!$C$5:$C$40)&gt;0),200*(X8-Y8),"")</f>
        <v/>
      </c>
    </row>
    <row r="9">
      <c r="A9" t="n">
        <v>2</v>
      </c>
      <c r="B9" t="n">
        <v>2</v>
      </c>
      <c r="C9">
        <f>IF(AND(Report!$D$6&lt;&gt;"",COUNT(Spectra!$C$5:$C$40)&gt;0),MATCH(Report!$D$6,Matrices!$A$2:$A$17,0),"")</f>
        <v/>
      </c>
      <c r="D9">
        <f>IF(AND(Report!$D$6&lt;&gt;"",COUNT(Spectra!$C$5:$C$40)&gt;0),MATCH(Report!$D$6,Weights!$B$3:$AW$3,0),"")</f>
        <v/>
      </c>
      <c r="E9">
        <f>IF(AND(Report!$D$6&lt;&gt;"",COUNT(Spectra!$C$5:$C$40)&gt;0),SUMPRODUCT(Spectra!$C$5:$C$40,INDEX(Weights!$B$5:$AW$40,0,D9+0))/Spectra!$N$5,"")</f>
        <v/>
      </c>
      <c r="F9">
        <f>IF(AND(Report!$D$6&lt;&gt;"",COUNT(Spectra!$C$5:$C$40)&gt;0),SUMPRODUCT(Spectra!$C$5:$C$40,INDEX(Weights!$B$5:$AW$40,0,D9+1))/Spectra!$N$5,"")</f>
        <v/>
      </c>
      <c r="G9">
        <f>IF(AND(Report!$D$6&lt;&gt;"",COUNT(Spectra!$C$5:$C$40)&gt;0),SUMPRODUCT(Spectra!$C$5:$C$40,INDEX(Weights!$B$5:$AW$40,0,D9+2))/Spectra!$N$5,"")</f>
        <v/>
      </c>
      <c r="H9">
        <f>IF(AND(Report!$D$6&lt;&gt;"",COUNT(Spectra!$C$5:$C$40)&gt;0),INDEX(Matrices!$E$2:$E$17,C9)*E9+INDEX(Matrices!$F$2:$F$17,C9)*F9+INDEX(Matrices!$G$2:$G$17,C9)*G9,"")</f>
        <v/>
      </c>
      <c r="I9">
        <f>IF(AND(Report!$D$6&lt;&gt;"",COUNT(Spectra!$C$5:$C$40)&gt;0),INDEX(Matrices!$H$2:$H$17,C9)*E9+INDEX(Matrices!$I$2:$I$17,C9)*F9+INDEX(Matrices!$J$2:$J$17,C9)*G9,"")</f>
        <v/>
      </c>
      <c r="J9">
        <f>IF(AND(Report!$D$6&lt;&gt;"",COUNT(Spectra!$C$5:$C$40)&gt;0),INDEX(Matrices!$K$2:$K$17,C9)*E9+INDEX(Matrices!$L$2:$L$17,C9)*F9+INDEX(Matrices!$M$2:$M$17,C9)*G9,"")</f>
        <v/>
      </c>
      <c r="K9">
        <f>IF(AND(Report!$D$6&lt;&gt;"",COUNT(Spectra!$C$5:$C$40)&gt;0),SQRT(I9^2+J9^2),"")</f>
        <v/>
      </c>
      <c r="L9">
        <f>IF(AND(Report!$D$6&lt;&gt;"",COUNT(Spectra!$C$5:$C$40)&gt;0),IF(K9=0,0,MOD(DEGREES(ATAN2(I9,J9)),360)),"")</f>
        <v/>
      </c>
      <c r="M9">
        <f>IF(AND(Report!$D$6&lt;&gt;"",COUNT(Spectra!$C$5:$C$40)&gt;0),IF(H9/100&gt;(6/29)^3,(H9/100)^(1/3),(1/3)*(29/6)^2*H9/100+16/116)*116-16,"")</f>
        <v/>
      </c>
      <c r="N9">
        <f>IF(AND(Report!$D$6&lt;&gt;"",COUNT(Spectra!$C$5:$C$40)&gt;0),EXP(0.026742553710937*(M9-51.576165618406904))/0.45888671875,"")</f>
        <v/>
      </c>
      <c r="O9">
        <f>IF(AND(Report!$D$6&lt;&gt;"",COUNT(Spectra!$C$5:$C$40)&gt;0),K9/N9,"")</f>
        <v/>
      </c>
      <c r="P9">
        <f>IF(AND(Report!$D$6&lt;&gt;"",COUNT(Spectra!$C$5:$C$40)&gt;0),IF(AND(L9&gt;1,L9&lt;181),SIN(RADIANS(L9-1))^3,0)+IF(AND(L9&gt;104,L9&lt;284),0.39*COS(RADIANS(L9-14))^2,0),"")</f>
        <v/>
      </c>
      <c r="Q9">
        <f>IF(AND(Report!$D$6&lt;&gt;"",COUNT(Spectra!$C$5:$C$40)&gt;0),62*(P9+0.31),"")</f>
        <v/>
      </c>
      <c r="R9">
        <f>IF(AND(Report!$D$6&lt;&gt;"",COUNT(Spectra!$C$5:$C$40)&gt;0),0.36*(P9+0.19),"")</f>
        <v/>
      </c>
      <c r="S9">
        <f>IF(AND(Report!$D$6&lt;&gt;"",COUNT(Spectra!$C$5:$C$40)&gt;0),Q9*(LN(O9/80+R9)-LN(R9)),"")</f>
        <v/>
      </c>
      <c r="T9">
        <f>IF(AND(Report!$D$6&lt;&gt;"",COUNT(Spectra!$C$5:$C$40)&gt;0),M9,"")</f>
        <v/>
      </c>
      <c r="U9">
        <f>IF(AND(Report!$D$6&lt;&gt;"",COUNT(Spectra!$C$5:$C$40)&gt;0),S9*COS(RADIANS(L9)),"")</f>
        <v/>
      </c>
      <c r="V9">
        <f>IF(AND(Report!$D$6&lt;&gt;"",COUNT(Spectra!$C$5:$C$40)&gt;0),S9*SIN(RADIANS(L9)),"")</f>
        <v/>
      </c>
      <c r="W9">
        <f>IF(AND(Report!$D$6&lt;&gt;"",COUNT(Spectra!$C$5:$C$40)&gt;0),IF(E9/INDEX(Matrices!$B$2:$B$17,C9)&gt;0.008856,(E9/INDEX(Matrices!$B$2:$B$17,C9))^(1/3),7.787*E9/INDEX(Matrices!$B$2:$B$17,C9)+16/116),"")</f>
        <v/>
      </c>
      <c r="X9">
        <f>IF(AND(Report!$D$6&lt;&gt;"",COUNT(Spectra!$C$5:$C$40)&gt;0),IF(F9/INDEX(Matrices!$C$2:$C$17,C9)&gt;0.008856,(F9/INDEX(Matrices!$C$2:$C$17,C9))^(1/3),7.787*F9/INDEX(Matrices!$C$2:$C$17,C9)+16/116),"")</f>
        <v/>
      </c>
      <c r="Y9">
        <f>IF(AND(Report!$D$6&lt;&gt;"",COUNT(Spectra!$C$5:$C$40)&gt;0),IF(G9/INDEX(Matrices!$D$2:$D$17,C9)&gt;0.008856,(G9/INDEX(Matrices!$D$2:$D$17,C9))^(1/3),7.787*G9/INDEX(Matrices!$D$2:$D$17,C9)+16/116),"")</f>
        <v/>
      </c>
      <c r="Z9">
        <f>IF(AND(Report!$D$6&lt;&gt;"",COUNT(Spectra!$C$5:$C$40)&gt;0),116*X9-16,"")</f>
        <v/>
      </c>
      <c r="AA9">
        <f>IF(AND(Report!$D$6&lt;&gt;"",COUNT(Spectra!$C$5:$C$40)&gt;0),500*(W9-X9),"")</f>
        <v/>
      </c>
      <c r="AB9">
        <f>IF(AND(Report!$D$6&lt;&gt;"",COUNT(Spectra!$C$5:$C$40)&gt;0),200*(X9-Y9),"")</f>
        <v/>
      </c>
    </row>
    <row r="10">
      <c r="A10" t="n">
        <v>2</v>
      </c>
      <c r="B10" t="n">
        <v>3</v>
      </c>
      <c r="C10">
        <f>IF(AND(Report!$E$6&lt;&gt;"",COUNT(Spectra!$C$5:$C$40)&gt;0),MATCH(Report!$E$6,Matrices!$A$2:$A$17,0),"")</f>
        <v/>
      </c>
      <c r="D10">
        <f>IF(AND(Report!$E$6&lt;&gt;"",COUNT(Spectra!$C$5:$C$40)&gt;0),MATCH(Report!$E$6,Weights!$B$3:$AW$3,0),"")</f>
        <v/>
      </c>
      <c r="E10">
        <f>IF(AND(Report!$E$6&lt;&gt;"",COUNT(Spectra!$C$5:$C$40)&gt;0),SUMPRODUCT(Spectra!$C$5:$C$40,INDEX(Weights!$B$5:$AW$40,0,D10+0))/Spectra!$N$5,"")</f>
        <v/>
      </c>
      <c r="F10">
        <f>IF(AND(Report!$E$6&lt;&gt;"",COUNT(Spectra!$C$5:$C$40)&gt;0),SUMPRODUCT(Spectra!$C$5:$C$40,INDEX(Weights!$B$5:$AW$40,0,D10+1))/Spectra!$N$5,"")</f>
        <v/>
      </c>
      <c r="G10">
        <f>IF(AND(Report!$E$6&lt;&gt;"",COUNT(Spectra!$C$5:$C$40)&gt;0),SUMPRODUCT(Spectra!$C$5:$C$40,INDEX(Weights!$B$5:$AW$40,0,D10+2))/Spectra!$N$5,"")</f>
        <v/>
      </c>
      <c r="H10">
        <f>IF(AND(Report!$E$6&lt;&gt;"",COUNT(Spectra!$C$5:$C$40)&gt;0),INDEX(Matrices!$E$2:$E$17,C10)*E10+INDEX(Matrices!$F$2:$F$17,C10)*F10+INDEX(Matrices!$G$2:$G$17,C10)*G10,"")</f>
        <v/>
      </c>
      <c r="I10">
        <f>IF(AND(Report!$E$6&lt;&gt;"",COUNT(Spectra!$C$5:$C$40)&gt;0),INDEX(Matrices!$H$2:$H$17,C10)*E10+INDEX(Matrices!$I$2:$I$17,C10)*F10+INDEX(Matrices!$J$2:$J$17,C10)*G10,"")</f>
        <v/>
      </c>
      <c r="J10">
        <f>IF(AND(Report!$E$6&lt;&gt;"",COUNT(Spectra!$C$5:$C$40)&gt;0),INDEX(Matrices!$K$2:$K$17,C10)*E10+INDEX(Matrices!$L$2:$L$17,C10)*F10+INDEX(Matrices!$M$2:$M$17,C10)*G10,"")</f>
        <v/>
      </c>
      <c r="K10">
        <f>IF(AND(Report!$E$6&lt;&gt;"",COUNT(Spectra!$C$5:$C$40)&gt;0),SQRT(I10^2+J10^2),"")</f>
        <v/>
      </c>
      <c r="L10">
        <f>IF(AND(Report!$E$6&lt;&gt;"",COUNT(Spectra!$C$5:$C$40)&gt;0),IF(K10=0,0,MOD(DEGREES(ATAN2(I10,J10)),360)),"")</f>
        <v/>
      </c>
      <c r="M10">
        <f>IF(AND(Report!$E$6&lt;&gt;"",COUNT(Spectra!$C$5:$C$40)&gt;0),IF(H10/100&gt;(6/29)^3,(H10/100)^(1/3),(1/3)*(29/6)^2*H10/100+16/116)*116-16,"")</f>
        <v/>
      </c>
      <c r="N10">
        <f>IF(AND(Report!$E$6&lt;&gt;"",COUNT(Spectra!$C$5:$C$40)&gt;0),EXP(0.026742553710937*(M10-51.576165618406904))/0.45888671875,"")</f>
        <v/>
      </c>
      <c r="O10">
        <f>IF(AND(Report!$E$6&lt;&gt;"",COUNT(Spectra!$C$5:$C$40)&gt;0),K10/N10,"")</f>
        <v/>
      </c>
      <c r="P10">
        <f>IF(AND(Report!$E$6&lt;&gt;"",COUNT(Spectra!$C$5:$C$40)&gt;0),IF(AND(L10&gt;1,L10&lt;181),SIN(RADIANS(L10-1))^3,0)+IF(AND(L10&gt;104,L10&lt;284),0.39*COS(RADIANS(L10-14))^2,0),"")</f>
        <v/>
      </c>
      <c r="Q10">
        <f>IF(AND(Report!$E$6&lt;&gt;"",COUNT(Spectra!$C$5:$C$40)&gt;0),62*(P10+0.31),"")</f>
        <v/>
      </c>
      <c r="R10">
        <f>IF(AND(Report!$E$6&lt;&gt;"",COUNT(Spectra!$C$5:$C$40)&gt;0),0.36*(P10+0.19),"")</f>
        <v/>
      </c>
      <c r="S10">
        <f>IF(AND(Report!$E$6&lt;&gt;"",COUNT(Spectra!$C$5:$C$40)&gt;0),Q10*(LN(O10/80+R10)-LN(R10)),"")</f>
        <v/>
      </c>
      <c r="T10">
        <f>IF(AND(Report!$E$6&lt;&gt;"",COUNT(Spectra!$C$5:$C$40)&gt;0),M10,"")</f>
        <v/>
      </c>
      <c r="U10">
        <f>IF(AND(Report!$E$6&lt;&gt;"",COUNT(Spectra!$C$5:$C$40)&gt;0),S10*COS(RADIANS(L10)),"")</f>
        <v/>
      </c>
      <c r="V10">
        <f>IF(AND(Report!$E$6&lt;&gt;"",COUNT(Spectra!$C$5:$C$40)&gt;0),S10*SIN(RADIANS(L10)),"")</f>
        <v/>
      </c>
      <c r="W10">
        <f>IF(AND(Report!$E$6&lt;&gt;"",COUNT(Spectra!$C$5:$C$40)&gt;0),IF(E10/INDEX(Matrices!$B$2:$B$17,C10)&gt;0.008856,(E10/INDEX(Matrices!$B$2:$B$17,C10))^(1/3),7.787*E10/INDEX(Matrices!$B$2:$B$17,C10)+16/116),"")</f>
        <v/>
      </c>
      <c r="X10">
        <f>IF(AND(Report!$E$6&lt;&gt;"",COUNT(Spectra!$C$5:$C$40)&gt;0),IF(F10/INDEX(Matrices!$C$2:$C$17,C10)&gt;0.008856,(F10/INDEX(Matrices!$C$2:$C$17,C10))^(1/3),7.787*F10/INDEX(Matrices!$C$2:$C$17,C10)+16/116),"")</f>
        <v/>
      </c>
      <c r="Y10">
        <f>IF(AND(Report!$E$6&lt;&gt;"",COUNT(Spectra!$C$5:$C$40)&gt;0),IF(G10/INDEX(Matrices!$D$2:$D$17,C10)&gt;0.008856,(G10/INDEX(Matrices!$D$2:$D$17,C10))^(1/3),7.787*G10/INDEX(Matrices!$D$2:$D$17,C10)+16/116),"")</f>
        <v/>
      </c>
      <c r="Z10">
        <f>IF(AND(Report!$E$6&lt;&gt;"",COUNT(Spectra!$C$5:$C$40)&gt;0),116*X10-16,"")</f>
        <v/>
      </c>
      <c r="AA10">
        <f>IF(AND(Report!$E$6&lt;&gt;"",COUNT(Spectra!$C$5:$C$40)&gt;0),500*(W10-X10),"")</f>
        <v/>
      </c>
      <c r="AB10">
        <f>IF(AND(Report!$E$6&lt;&gt;"",COUNT(Spectra!$C$5:$C$40)&gt;0),200*(X10-Y10),"")</f>
        <v/>
      </c>
    </row>
    <row r="11">
      <c r="A11" t="n">
        <v>2</v>
      </c>
      <c r="B11" t="n">
        <v>4</v>
      </c>
      <c r="C11">
        <f>IF(AND(Report!$F$6&lt;&gt;"",COUNT(Spectra!$C$5:$C$40)&gt;0),MATCH(Report!$F$6,Matrices!$A$2:$A$17,0),"")</f>
        <v/>
      </c>
      <c r="D11">
        <f>IF(AND(Report!$F$6&lt;&gt;"",COUNT(Spectra!$C$5:$C$40)&gt;0),MATCH(Report!$F$6,Weights!$B$3:$AW$3,0),"")</f>
        <v/>
      </c>
      <c r="E11">
        <f>IF(AND(Report!$F$6&lt;&gt;"",COUNT(Spectra!$C$5:$C$40)&gt;0),SUMPRODUCT(Spectra!$C$5:$C$40,INDEX(Weights!$B$5:$AW$40,0,D11+0))/Spectra!$N$5,"")</f>
        <v/>
      </c>
      <c r="F11">
        <f>IF(AND(Report!$F$6&lt;&gt;"",COUNT(Spectra!$C$5:$C$40)&gt;0),SUMPRODUCT(Spectra!$C$5:$C$40,INDEX(Weights!$B$5:$AW$40,0,D11+1))/Spectra!$N$5,"")</f>
        <v/>
      </c>
      <c r="G11">
        <f>IF(AND(Report!$F$6&lt;&gt;"",COUNT(Spectra!$C$5:$C$40)&gt;0),SUMPRODUCT(Spectra!$C$5:$C$40,INDEX(Weights!$B$5:$AW$40,0,D11+2))/Spectra!$N$5,"")</f>
        <v/>
      </c>
      <c r="H11">
        <f>IF(AND(Report!$F$6&lt;&gt;"",COUNT(Spectra!$C$5:$C$40)&gt;0),INDEX(Matrices!$E$2:$E$17,C11)*E11+INDEX(Matrices!$F$2:$F$17,C11)*F11+INDEX(Matrices!$G$2:$G$17,C11)*G11,"")</f>
        <v/>
      </c>
      <c r="I11">
        <f>IF(AND(Report!$F$6&lt;&gt;"",COUNT(Spectra!$C$5:$C$40)&gt;0),INDEX(Matrices!$H$2:$H$17,C11)*E11+INDEX(Matrices!$I$2:$I$17,C11)*F11+INDEX(Matrices!$J$2:$J$17,C11)*G11,"")</f>
        <v/>
      </c>
      <c r="J11">
        <f>IF(AND(Report!$F$6&lt;&gt;"",COUNT(Spectra!$C$5:$C$40)&gt;0),INDEX(Matrices!$K$2:$K$17,C11)*E11+INDEX(Matrices!$L$2:$L$17,C11)*F11+INDEX(Matrices!$M$2:$M$17,C11)*G11,"")</f>
        <v/>
      </c>
      <c r="K11">
        <f>IF(AND(Report!$F$6&lt;&gt;"",COUNT(Spectra!$C$5:$C$40)&gt;0),SQRT(I11^2+J11^2),"")</f>
        <v/>
      </c>
      <c r="L11">
        <f>IF(AND(Report!$F$6&lt;&gt;"",COUNT(Spectra!$C$5:$C$40)&gt;0),IF(K11=0,0,MOD(DEGREES(ATAN2(I11,J11)),360)),"")</f>
        <v/>
      </c>
      <c r="M11">
        <f>IF(AND(Report!$F$6&lt;&gt;"",COUNT(Spectra!$C$5:$C$40)&gt;0),IF(H11/100&gt;(6/29)^3,(H11/100)^(1/3),(1/3)*(29/6)^2*H11/100+16/116)*116-16,"")</f>
        <v/>
      </c>
      <c r="N11">
        <f>IF(AND(Report!$F$6&lt;&gt;"",COUNT(Spectra!$C$5:$C$40)&gt;0),EXP(0.026742553710937*(M11-51.576165618406904))/0.45888671875,"")</f>
        <v/>
      </c>
      <c r="O11">
        <f>IF(AND(Report!$F$6&lt;&gt;"",COUNT(Spectra!$C$5:$C$40)&gt;0),K11/N11,"")</f>
        <v/>
      </c>
      <c r="P11">
        <f>IF(AND(Report!$F$6&lt;&gt;"",COUNT(Spectra!$C$5:$C$40)&gt;0),IF(AND(L11&gt;1,L11&lt;181),SIN(RADIANS(L11-1))^3,0)+IF(AND(L11&gt;104,L11&lt;284),0.39*COS(RADIANS(L11-14))^2,0),"")</f>
        <v/>
      </c>
      <c r="Q11">
        <f>IF(AND(Report!$F$6&lt;&gt;"",COUNT(Spectra!$C$5:$C$40)&gt;0),62*(P11+0.31),"")</f>
        <v/>
      </c>
      <c r="R11">
        <f>IF(AND(Report!$F$6&lt;&gt;"",COUNT(Spectra!$C$5:$C$40)&gt;0),0.36*(P11+0.19),"")</f>
        <v/>
      </c>
      <c r="S11">
        <f>IF(AND(Report!$F$6&lt;&gt;"",COUNT(Spectra!$C$5:$C$40)&gt;0),Q11*(LN(O11/80+R11)-LN(R11)),"")</f>
        <v/>
      </c>
      <c r="T11">
        <f>IF(AND(Report!$F$6&lt;&gt;"",COUNT(Spectra!$C$5:$C$40)&gt;0),M11,"")</f>
        <v/>
      </c>
      <c r="U11">
        <f>IF(AND(Report!$F$6&lt;&gt;"",COUNT(Spectra!$C$5:$C$40)&gt;0),S11*COS(RADIANS(L11)),"")</f>
        <v/>
      </c>
      <c r="V11">
        <f>IF(AND(Report!$F$6&lt;&gt;"",COUNT(Spectra!$C$5:$C$40)&gt;0),S11*SIN(RADIANS(L11)),"")</f>
        <v/>
      </c>
      <c r="W11">
        <f>IF(AND(Report!$F$6&lt;&gt;"",COUNT(Spectra!$C$5:$C$40)&gt;0),IF(E11/INDEX(Matrices!$B$2:$B$17,C11)&gt;0.008856,(E11/INDEX(Matrices!$B$2:$B$17,C11))^(1/3),7.787*E11/INDEX(Matrices!$B$2:$B$17,C11)+16/116),"")</f>
        <v/>
      </c>
      <c r="X11">
        <f>IF(AND(Report!$F$6&lt;&gt;"",COUNT(Spectra!$C$5:$C$40)&gt;0),IF(F11/INDEX(Matrices!$C$2:$C$17,C11)&gt;0.008856,(F11/INDEX(Matrices!$C$2:$C$17,C11))^(1/3),7.787*F11/INDEX(Matrices!$C$2:$C$17,C11)+16/116),"")</f>
        <v/>
      </c>
      <c r="Y11">
        <f>IF(AND(Report!$F$6&lt;&gt;"",COUNT(Spectra!$C$5:$C$40)&gt;0),IF(G11/INDEX(Matrices!$D$2:$D$17,C11)&gt;0.008856,(G11/INDEX(Matrices!$D$2:$D$17,C11))^(1/3),7.787*G11/INDEX(Matrices!$D$2:$D$17,C11)+16/116),"")</f>
        <v/>
      </c>
      <c r="Z11">
        <f>IF(AND(Report!$F$6&lt;&gt;"",COUNT(Spectra!$C$5:$C$40)&gt;0),116*X11-16,"")</f>
        <v/>
      </c>
      <c r="AA11">
        <f>IF(AND(Report!$F$6&lt;&gt;"",COUNT(Spectra!$C$5:$C$40)&gt;0),500*(W11-X11),"")</f>
        <v/>
      </c>
      <c r="AB11">
        <f>IF(AND(Report!$F$6&lt;&gt;"",COUNT(Spectra!$C$5:$C$40)&gt;0),200*(X11-Y11),"")</f>
        <v/>
      </c>
    </row>
    <row r="12">
      <c r="A12" t="n">
        <v>2</v>
      </c>
      <c r="B12" t="n">
        <v>5</v>
      </c>
      <c r="C12">
        <f>IF(AND(Report!$G$6&lt;&gt;"",COUNT(Spectra!$C$5:$C$40)&gt;0),MATCH(Report!$G$6,Matrices!$A$2:$A$17,0),"")</f>
        <v/>
      </c>
      <c r="D12">
        <f>IF(AND(Report!$G$6&lt;&gt;"",COUNT(Spectra!$C$5:$C$40)&gt;0),MATCH(Report!$G$6,Weights!$B$3:$AW$3,0),"")</f>
        <v/>
      </c>
      <c r="E12">
        <f>IF(AND(Report!$G$6&lt;&gt;"",COUNT(Spectra!$C$5:$C$40)&gt;0),SUMPRODUCT(Spectra!$C$5:$C$40,INDEX(Weights!$B$5:$AW$40,0,D12+0))/Spectra!$N$5,"")</f>
        <v/>
      </c>
      <c r="F12">
        <f>IF(AND(Report!$G$6&lt;&gt;"",COUNT(Spectra!$C$5:$C$40)&gt;0),SUMPRODUCT(Spectra!$C$5:$C$40,INDEX(Weights!$B$5:$AW$40,0,D12+1))/Spectra!$N$5,"")</f>
        <v/>
      </c>
      <c r="G12">
        <f>IF(AND(Report!$G$6&lt;&gt;"",COUNT(Spectra!$C$5:$C$40)&gt;0),SUMPRODUCT(Spectra!$C$5:$C$40,INDEX(Weights!$B$5:$AW$40,0,D12+2))/Spectra!$N$5,"")</f>
        <v/>
      </c>
      <c r="H12">
        <f>IF(AND(Report!$G$6&lt;&gt;"",COUNT(Spectra!$C$5:$C$40)&gt;0),INDEX(Matrices!$E$2:$E$17,C12)*E12+INDEX(Matrices!$F$2:$F$17,C12)*F12+INDEX(Matrices!$G$2:$G$17,C12)*G12,"")</f>
        <v/>
      </c>
      <c r="I12">
        <f>IF(AND(Report!$G$6&lt;&gt;"",COUNT(Spectra!$C$5:$C$40)&gt;0),INDEX(Matrices!$H$2:$H$17,C12)*E12+INDEX(Matrices!$I$2:$I$17,C12)*F12+INDEX(Matrices!$J$2:$J$17,C12)*G12,"")</f>
        <v/>
      </c>
      <c r="J12">
        <f>IF(AND(Report!$G$6&lt;&gt;"",COUNT(Spectra!$C$5:$C$40)&gt;0),INDEX(Matrices!$K$2:$K$17,C12)*E12+INDEX(Matrices!$L$2:$L$17,C12)*F12+INDEX(Matrices!$M$2:$M$17,C12)*G12,"")</f>
        <v/>
      </c>
      <c r="K12">
        <f>IF(AND(Report!$G$6&lt;&gt;"",COUNT(Spectra!$C$5:$C$40)&gt;0),SQRT(I12^2+J12^2),"")</f>
        <v/>
      </c>
      <c r="L12">
        <f>IF(AND(Report!$G$6&lt;&gt;"",COUNT(Spectra!$C$5:$C$40)&gt;0),IF(K12=0,0,MOD(DEGREES(ATAN2(I12,J12)),360)),"")</f>
        <v/>
      </c>
      <c r="M12">
        <f>IF(AND(Report!$G$6&lt;&gt;"",COUNT(Spectra!$C$5:$C$40)&gt;0),IF(H12/100&gt;(6/29)^3,(H12/100)^(1/3),(1/3)*(29/6)^2*H12/100+16/116)*116-16,"")</f>
        <v/>
      </c>
      <c r="N12">
        <f>IF(AND(Report!$G$6&lt;&gt;"",COUNT(Spectra!$C$5:$C$40)&gt;0),EXP(0.026742553710937*(M12-51.576165618406904))/0.45888671875,"")</f>
        <v/>
      </c>
      <c r="O12">
        <f>IF(AND(Report!$G$6&lt;&gt;"",COUNT(Spectra!$C$5:$C$40)&gt;0),K12/N12,"")</f>
        <v/>
      </c>
      <c r="P12">
        <f>IF(AND(Report!$G$6&lt;&gt;"",COUNT(Spectra!$C$5:$C$40)&gt;0),IF(AND(L12&gt;1,L12&lt;181),SIN(RADIANS(L12-1))^3,0)+IF(AND(L12&gt;104,L12&lt;284),0.39*COS(RADIANS(L12-14))^2,0),"")</f>
        <v/>
      </c>
      <c r="Q12">
        <f>IF(AND(Report!$G$6&lt;&gt;"",COUNT(Spectra!$C$5:$C$40)&gt;0),62*(P12+0.31),"")</f>
        <v/>
      </c>
      <c r="R12">
        <f>IF(AND(Report!$G$6&lt;&gt;"",COUNT(Spectra!$C$5:$C$40)&gt;0),0.36*(P12+0.19),"")</f>
        <v/>
      </c>
      <c r="S12">
        <f>IF(AND(Report!$G$6&lt;&gt;"",COUNT(Spectra!$C$5:$C$40)&gt;0),Q12*(LN(O12/80+R12)-LN(R12)),"")</f>
        <v/>
      </c>
      <c r="T12">
        <f>IF(AND(Report!$G$6&lt;&gt;"",COUNT(Spectra!$C$5:$C$40)&gt;0),M12,"")</f>
        <v/>
      </c>
      <c r="U12">
        <f>IF(AND(Report!$G$6&lt;&gt;"",COUNT(Spectra!$C$5:$C$40)&gt;0),S12*COS(RADIANS(L12)),"")</f>
        <v/>
      </c>
      <c r="V12">
        <f>IF(AND(Report!$G$6&lt;&gt;"",COUNT(Spectra!$C$5:$C$40)&gt;0),S12*SIN(RADIANS(L12)),"")</f>
        <v/>
      </c>
      <c r="W12">
        <f>IF(AND(Report!$G$6&lt;&gt;"",COUNT(Spectra!$C$5:$C$40)&gt;0),IF(E12/INDEX(Matrices!$B$2:$B$17,C12)&gt;0.008856,(E12/INDEX(Matrices!$B$2:$B$17,C12))^(1/3),7.787*E12/INDEX(Matrices!$B$2:$B$17,C12)+16/116),"")</f>
        <v/>
      </c>
      <c r="X12">
        <f>IF(AND(Report!$G$6&lt;&gt;"",COUNT(Spectra!$C$5:$C$40)&gt;0),IF(F12/INDEX(Matrices!$C$2:$C$17,C12)&gt;0.008856,(F12/INDEX(Matrices!$C$2:$C$17,C12))^(1/3),7.787*F12/INDEX(Matrices!$C$2:$C$17,C12)+16/116),"")</f>
        <v/>
      </c>
      <c r="Y12">
        <f>IF(AND(Report!$G$6&lt;&gt;"",COUNT(Spectra!$C$5:$C$40)&gt;0),IF(G12/INDEX(Matrices!$D$2:$D$17,C12)&gt;0.008856,(G12/INDEX(Matrices!$D$2:$D$17,C12))^(1/3),7.787*G12/INDEX(Matrices!$D$2:$D$17,C12)+16/116),"")</f>
        <v/>
      </c>
      <c r="Z12">
        <f>IF(AND(Report!$G$6&lt;&gt;"",COUNT(Spectra!$C$5:$C$40)&gt;0),116*X12-16,"")</f>
        <v/>
      </c>
      <c r="AA12">
        <f>IF(AND(Report!$G$6&lt;&gt;"",COUNT(Spectra!$C$5:$C$40)&gt;0),500*(W12-X12),"")</f>
        <v/>
      </c>
      <c r="AB12">
        <f>IF(AND(Report!$G$6&lt;&gt;"",COUNT(Spectra!$C$5:$C$40)&gt;0),200*(X12-Y12),"")</f>
        <v/>
      </c>
    </row>
    <row r="13">
      <c r="A13" t="n">
        <v>2</v>
      </c>
      <c r="B13" t="n">
        <v>6</v>
      </c>
      <c r="C13">
        <f>IF(AND(Report!$H$6&lt;&gt;"",COUNT(Spectra!$C$5:$C$40)&gt;0),MATCH(Report!$H$6,Matrices!$A$2:$A$17,0),"")</f>
        <v/>
      </c>
      <c r="D13">
        <f>IF(AND(Report!$H$6&lt;&gt;"",COUNT(Spectra!$C$5:$C$40)&gt;0),MATCH(Report!$H$6,Weights!$B$3:$AW$3,0),"")</f>
        <v/>
      </c>
      <c r="E13">
        <f>IF(AND(Report!$H$6&lt;&gt;"",COUNT(Spectra!$C$5:$C$40)&gt;0),SUMPRODUCT(Spectra!$C$5:$C$40,INDEX(Weights!$B$5:$AW$40,0,D13+0))/Spectra!$N$5,"")</f>
        <v/>
      </c>
      <c r="F13">
        <f>IF(AND(Report!$H$6&lt;&gt;"",COUNT(Spectra!$C$5:$C$40)&gt;0),SUMPRODUCT(Spectra!$C$5:$C$40,INDEX(Weights!$B$5:$AW$40,0,D13+1))/Spectra!$N$5,"")</f>
        <v/>
      </c>
      <c r="G13">
        <f>IF(AND(Report!$H$6&lt;&gt;"",COUNT(Spectra!$C$5:$C$40)&gt;0),SUMPRODUCT(Spectra!$C$5:$C$40,INDEX(Weights!$B$5:$AW$40,0,D13+2))/Spectra!$N$5,"")</f>
        <v/>
      </c>
      <c r="H13">
        <f>IF(AND(Report!$H$6&lt;&gt;"",COUNT(Spectra!$C$5:$C$40)&gt;0),INDEX(Matrices!$E$2:$E$17,C13)*E13+INDEX(Matrices!$F$2:$F$17,C13)*F13+INDEX(Matrices!$G$2:$G$17,C13)*G13,"")</f>
        <v/>
      </c>
      <c r="I13">
        <f>IF(AND(Report!$H$6&lt;&gt;"",COUNT(Spectra!$C$5:$C$40)&gt;0),INDEX(Matrices!$H$2:$H$17,C13)*E13+INDEX(Matrices!$I$2:$I$17,C13)*F13+INDEX(Matrices!$J$2:$J$17,C13)*G13,"")</f>
        <v/>
      </c>
      <c r="J13">
        <f>IF(AND(Report!$H$6&lt;&gt;"",COUNT(Spectra!$C$5:$C$40)&gt;0),INDEX(Matrices!$K$2:$K$17,C13)*E13+INDEX(Matrices!$L$2:$L$17,C13)*F13+INDEX(Matrices!$M$2:$M$17,C13)*G13,"")</f>
        <v/>
      </c>
      <c r="K13">
        <f>IF(AND(Report!$H$6&lt;&gt;"",COUNT(Spectra!$C$5:$C$40)&gt;0),SQRT(I13^2+J13^2),"")</f>
        <v/>
      </c>
      <c r="L13">
        <f>IF(AND(Report!$H$6&lt;&gt;"",COUNT(Spectra!$C$5:$C$40)&gt;0),IF(K13=0,0,MOD(DEGREES(ATAN2(I13,J13)),360)),"")</f>
        <v/>
      </c>
      <c r="M13">
        <f>IF(AND(Report!$H$6&lt;&gt;"",COUNT(Spectra!$C$5:$C$40)&gt;0),IF(H13/100&gt;(6/29)^3,(H13/100)^(1/3),(1/3)*(29/6)^2*H13/100+16/116)*116-16,"")</f>
        <v/>
      </c>
      <c r="N13">
        <f>IF(AND(Report!$H$6&lt;&gt;"",COUNT(Spectra!$C$5:$C$40)&gt;0),EXP(0.026742553710937*(M13-51.576165618406904))/0.45888671875,"")</f>
        <v/>
      </c>
      <c r="O13">
        <f>IF(AND(Report!$H$6&lt;&gt;"",COUNT(Spectra!$C$5:$C$40)&gt;0),K13/N13,"")</f>
        <v/>
      </c>
      <c r="P13">
        <f>IF(AND(Report!$H$6&lt;&gt;"",COUNT(Spectra!$C$5:$C$40)&gt;0),IF(AND(L13&gt;1,L13&lt;181),SIN(RADIANS(L13-1))^3,0)+IF(AND(L13&gt;104,L13&lt;284),0.39*COS(RADIANS(L13-14))^2,0),"")</f>
        <v/>
      </c>
      <c r="Q13">
        <f>IF(AND(Report!$H$6&lt;&gt;"",COUNT(Spectra!$C$5:$C$40)&gt;0),62*(P13+0.31),"")</f>
        <v/>
      </c>
      <c r="R13">
        <f>IF(AND(Report!$H$6&lt;&gt;"",COUNT(Spectra!$C$5:$C$40)&gt;0),0.36*(P13+0.19),"")</f>
        <v/>
      </c>
      <c r="S13">
        <f>IF(AND(Report!$H$6&lt;&gt;"",COUNT(Spectra!$C$5:$C$40)&gt;0),Q13*(LN(O13/80+R13)-LN(R13)),"")</f>
        <v/>
      </c>
      <c r="T13">
        <f>IF(AND(Report!$H$6&lt;&gt;"",COUNT(Spectra!$C$5:$C$40)&gt;0),M13,"")</f>
        <v/>
      </c>
      <c r="U13">
        <f>IF(AND(Report!$H$6&lt;&gt;"",COUNT(Spectra!$C$5:$C$40)&gt;0),S13*COS(RADIANS(L13)),"")</f>
        <v/>
      </c>
      <c r="V13">
        <f>IF(AND(Report!$H$6&lt;&gt;"",COUNT(Spectra!$C$5:$C$40)&gt;0),S13*SIN(RADIANS(L13)),"")</f>
        <v/>
      </c>
      <c r="W13">
        <f>IF(AND(Report!$H$6&lt;&gt;"",COUNT(Spectra!$C$5:$C$40)&gt;0),IF(E13/INDEX(Matrices!$B$2:$B$17,C13)&gt;0.008856,(E13/INDEX(Matrices!$B$2:$B$17,C13))^(1/3),7.787*E13/INDEX(Matrices!$B$2:$B$17,C13)+16/116),"")</f>
        <v/>
      </c>
      <c r="X13">
        <f>IF(AND(Report!$H$6&lt;&gt;"",COUNT(Spectra!$C$5:$C$40)&gt;0),IF(F13/INDEX(Matrices!$C$2:$C$17,C13)&gt;0.008856,(F13/INDEX(Matrices!$C$2:$C$17,C13))^(1/3),7.787*F13/INDEX(Matrices!$C$2:$C$17,C13)+16/116),"")</f>
        <v/>
      </c>
      <c r="Y13">
        <f>IF(AND(Report!$H$6&lt;&gt;"",COUNT(Spectra!$C$5:$C$40)&gt;0),IF(G13/INDEX(Matrices!$D$2:$D$17,C13)&gt;0.008856,(G13/INDEX(Matrices!$D$2:$D$17,C13))^(1/3),7.787*G13/INDEX(Matrices!$D$2:$D$17,C13)+16/116),"")</f>
        <v/>
      </c>
      <c r="Z13">
        <f>IF(AND(Report!$H$6&lt;&gt;"",COUNT(Spectra!$C$5:$C$40)&gt;0),116*X13-16,"")</f>
        <v/>
      </c>
      <c r="AA13">
        <f>IF(AND(Report!$H$6&lt;&gt;"",COUNT(Spectra!$C$5:$C$40)&gt;0),500*(W13-X13),"")</f>
        <v/>
      </c>
      <c r="AB13">
        <f>IF(AND(Report!$H$6&lt;&gt;"",COUNT(Spectra!$C$5:$C$40)&gt;0),200*(X13-Y13),"")</f>
        <v/>
      </c>
    </row>
    <row r="14">
      <c r="A14" t="n">
        <v>3</v>
      </c>
      <c r="B14" t="n">
        <v>1</v>
      </c>
      <c r="C14">
        <f>IF(AND(Report!$C$6&lt;&gt;"",COUNT(Spectra!$D$5:$D$40)&gt;0),MATCH(Report!$C$6,Matrices!$A$2:$A$17,0),"")</f>
        <v/>
      </c>
      <c r="D14">
        <f>IF(AND(Report!$C$6&lt;&gt;"",COUNT(Spectra!$D$5:$D$40)&gt;0),MATCH(Report!$C$6,Weights!$B$3:$AW$3,0),"")</f>
        <v/>
      </c>
      <c r="E14">
        <f>IF(AND(Report!$C$6&lt;&gt;"",COUNT(Spectra!$D$5:$D$40)&gt;0),SUMPRODUCT(Spectra!$D$5:$D$40,INDEX(Weights!$B$5:$AW$40,0,D14+0))/Spectra!$N$5,"")</f>
        <v/>
      </c>
      <c r="F14">
        <f>IF(AND(Report!$C$6&lt;&gt;"",COUNT(Spectra!$D$5:$D$40)&gt;0),SUMPRODUCT(Spectra!$D$5:$D$40,INDEX(Weights!$B$5:$AW$40,0,D14+1))/Spectra!$N$5,"")</f>
        <v/>
      </c>
      <c r="G14">
        <f>IF(AND(Report!$C$6&lt;&gt;"",COUNT(Spectra!$D$5:$D$40)&gt;0),SUMPRODUCT(Spectra!$D$5:$D$40,INDEX(Weights!$B$5:$AW$40,0,D14+2))/Spectra!$N$5,"")</f>
        <v/>
      </c>
      <c r="H14">
        <f>IF(AND(Report!$C$6&lt;&gt;"",COUNT(Spectra!$D$5:$D$40)&gt;0),INDEX(Matrices!$E$2:$E$17,C14)*E14+INDEX(Matrices!$F$2:$F$17,C14)*F14+INDEX(Matrices!$G$2:$G$17,C14)*G14,"")</f>
        <v/>
      </c>
      <c r="I14">
        <f>IF(AND(Report!$C$6&lt;&gt;"",COUNT(Spectra!$D$5:$D$40)&gt;0),INDEX(Matrices!$H$2:$H$17,C14)*E14+INDEX(Matrices!$I$2:$I$17,C14)*F14+INDEX(Matrices!$J$2:$J$17,C14)*G14,"")</f>
        <v/>
      </c>
      <c r="J14">
        <f>IF(AND(Report!$C$6&lt;&gt;"",COUNT(Spectra!$D$5:$D$40)&gt;0),INDEX(Matrices!$K$2:$K$17,C14)*E14+INDEX(Matrices!$L$2:$L$17,C14)*F14+INDEX(Matrices!$M$2:$M$17,C14)*G14,"")</f>
        <v/>
      </c>
      <c r="K14">
        <f>IF(AND(Report!$C$6&lt;&gt;"",COUNT(Spectra!$D$5:$D$40)&gt;0),SQRT(I14^2+J14^2),"")</f>
        <v/>
      </c>
      <c r="L14">
        <f>IF(AND(Report!$C$6&lt;&gt;"",COUNT(Spectra!$D$5:$D$40)&gt;0),IF(K14=0,0,MOD(DEGREES(ATAN2(I14,J14)),360)),"")</f>
        <v/>
      </c>
      <c r="M14">
        <f>IF(AND(Report!$C$6&lt;&gt;"",COUNT(Spectra!$D$5:$D$40)&gt;0),IF(H14/100&gt;(6/29)^3,(H14/100)^(1/3),(1/3)*(29/6)^2*H14/100+16/116)*116-16,"")</f>
        <v/>
      </c>
      <c r="N14">
        <f>IF(AND(Report!$C$6&lt;&gt;"",COUNT(Spectra!$D$5:$D$40)&gt;0),EXP(0.026742553710937*(M14-51.576165618406904))/0.45888671875,"")</f>
        <v/>
      </c>
      <c r="O14">
        <f>IF(AND(Report!$C$6&lt;&gt;"",COUNT(Spectra!$D$5:$D$40)&gt;0),K14/N14,"")</f>
        <v/>
      </c>
      <c r="P14">
        <f>IF(AND(Report!$C$6&lt;&gt;"",COUNT(Spectra!$D$5:$D$40)&gt;0),IF(AND(L14&gt;1,L14&lt;181),SIN(RADIANS(L14-1))^3,0)+IF(AND(L14&gt;104,L14&lt;284),0.39*COS(RADIANS(L14-14))^2,0),"")</f>
        <v/>
      </c>
      <c r="Q14">
        <f>IF(AND(Report!$C$6&lt;&gt;"",COUNT(Spectra!$D$5:$D$40)&gt;0),62*(P14+0.31),"")</f>
        <v/>
      </c>
      <c r="R14">
        <f>IF(AND(Report!$C$6&lt;&gt;"",COUNT(Spectra!$D$5:$D$40)&gt;0),0.36*(P14+0.19),"")</f>
        <v/>
      </c>
      <c r="S14">
        <f>IF(AND(Report!$C$6&lt;&gt;"",COUNT(Spectra!$D$5:$D$40)&gt;0),Q14*(LN(O14/80+R14)-LN(R14)),"")</f>
        <v/>
      </c>
      <c r="T14">
        <f>IF(AND(Report!$C$6&lt;&gt;"",COUNT(Spectra!$D$5:$D$40)&gt;0),M14,"")</f>
        <v/>
      </c>
      <c r="U14">
        <f>IF(AND(Report!$C$6&lt;&gt;"",COUNT(Spectra!$D$5:$D$40)&gt;0),S14*COS(RADIANS(L14)),"")</f>
        <v/>
      </c>
      <c r="V14">
        <f>IF(AND(Report!$C$6&lt;&gt;"",COUNT(Spectra!$D$5:$D$40)&gt;0),S14*SIN(RADIANS(L14)),"")</f>
        <v/>
      </c>
      <c r="W14">
        <f>IF(AND(Report!$C$6&lt;&gt;"",COUNT(Spectra!$D$5:$D$40)&gt;0),IF(E14/INDEX(Matrices!$B$2:$B$17,C14)&gt;0.008856,(E14/INDEX(Matrices!$B$2:$B$17,C14))^(1/3),7.787*E14/INDEX(Matrices!$B$2:$B$17,C14)+16/116),"")</f>
        <v/>
      </c>
      <c r="X14">
        <f>IF(AND(Report!$C$6&lt;&gt;"",COUNT(Spectra!$D$5:$D$40)&gt;0),IF(F14/INDEX(Matrices!$C$2:$C$17,C14)&gt;0.008856,(F14/INDEX(Matrices!$C$2:$C$17,C14))^(1/3),7.787*F14/INDEX(Matrices!$C$2:$C$17,C14)+16/116),"")</f>
        <v/>
      </c>
      <c r="Y14">
        <f>IF(AND(Report!$C$6&lt;&gt;"",COUNT(Spectra!$D$5:$D$40)&gt;0),IF(G14/INDEX(Matrices!$D$2:$D$17,C14)&gt;0.008856,(G14/INDEX(Matrices!$D$2:$D$17,C14))^(1/3),7.787*G14/INDEX(Matrices!$D$2:$D$17,C14)+16/116),"")</f>
        <v/>
      </c>
      <c r="Z14">
        <f>IF(AND(Report!$C$6&lt;&gt;"",COUNT(Spectra!$D$5:$D$40)&gt;0),116*X14-16,"")</f>
        <v/>
      </c>
      <c r="AA14">
        <f>IF(AND(Report!$C$6&lt;&gt;"",COUNT(Spectra!$D$5:$D$40)&gt;0),500*(W14-X14),"")</f>
        <v/>
      </c>
      <c r="AB14">
        <f>IF(AND(Report!$C$6&lt;&gt;"",COUNT(Spectra!$D$5:$D$40)&gt;0),200*(X14-Y14),"")</f>
        <v/>
      </c>
    </row>
    <row r="15">
      <c r="A15" t="n">
        <v>3</v>
      </c>
      <c r="B15" t="n">
        <v>2</v>
      </c>
      <c r="C15">
        <f>IF(AND(Report!$D$6&lt;&gt;"",COUNT(Spectra!$D$5:$D$40)&gt;0),MATCH(Report!$D$6,Matrices!$A$2:$A$17,0),"")</f>
        <v/>
      </c>
      <c r="D15">
        <f>IF(AND(Report!$D$6&lt;&gt;"",COUNT(Spectra!$D$5:$D$40)&gt;0),MATCH(Report!$D$6,Weights!$B$3:$AW$3,0),"")</f>
        <v/>
      </c>
      <c r="E15">
        <f>IF(AND(Report!$D$6&lt;&gt;"",COUNT(Spectra!$D$5:$D$40)&gt;0),SUMPRODUCT(Spectra!$D$5:$D$40,INDEX(Weights!$B$5:$AW$40,0,D15+0))/Spectra!$N$5,"")</f>
        <v/>
      </c>
      <c r="F15">
        <f>IF(AND(Report!$D$6&lt;&gt;"",COUNT(Spectra!$D$5:$D$40)&gt;0),SUMPRODUCT(Spectra!$D$5:$D$40,INDEX(Weights!$B$5:$AW$40,0,D15+1))/Spectra!$N$5,"")</f>
        <v/>
      </c>
      <c r="G15">
        <f>IF(AND(Report!$D$6&lt;&gt;"",COUNT(Spectra!$D$5:$D$40)&gt;0),SUMPRODUCT(Spectra!$D$5:$D$40,INDEX(Weights!$B$5:$AW$40,0,D15+2))/Spectra!$N$5,"")</f>
        <v/>
      </c>
      <c r="H15">
        <f>IF(AND(Report!$D$6&lt;&gt;"",COUNT(Spectra!$D$5:$D$40)&gt;0),INDEX(Matrices!$E$2:$E$17,C15)*E15+INDEX(Matrices!$F$2:$F$17,C15)*F15+INDEX(Matrices!$G$2:$G$17,C15)*G15,"")</f>
        <v/>
      </c>
      <c r="I15">
        <f>IF(AND(Report!$D$6&lt;&gt;"",COUNT(Spectra!$D$5:$D$40)&gt;0),INDEX(Matrices!$H$2:$H$17,C15)*E15+INDEX(Matrices!$I$2:$I$17,C15)*F15+INDEX(Matrices!$J$2:$J$17,C15)*G15,"")</f>
        <v/>
      </c>
      <c r="J15">
        <f>IF(AND(Report!$D$6&lt;&gt;"",COUNT(Spectra!$D$5:$D$40)&gt;0),INDEX(Matrices!$K$2:$K$17,C15)*E15+INDEX(Matrices!$L$2:$L$17,C15)*F15+INDEX(Matrices!$M$2:$M$17,C15)*G15,"")</f>
        <v/>
      </c>
      <c r="K15">
        <f>IF(AND(Report!$D$6&lt;&gt;"",COUNT(Spectra!$D$5:$D$40)&gt;0),SQRT(I15^2+J15^2),"")</f>
        <v/>
      </c>
      <c r="L15">
        <f>IF(AND(Report!$D$6&lt;&gt;"",COUNT(Spectra!$D$5:$D$40)&gt;0),IF(K15=0,0,MOD(DEGREES(ATAN2(I15,J15)),360)),"")</f>
        <v/>
      </c>
      <c r="M15">
        <f>IF(AND(Report!$D$6&lt;&gt;"",COUNT(Spectra!$D$5:$D$40)&gt;0),IF(H15/100&gt;(6/29)^3,(H15/100)^(1/3),(1/3)*(29/6)^2*H15/100+16/116)*116-16,"")</f>
        <v/>
      </c>
      <c r="N15">
        <f>IF(AND(Report!$D$6&lt;&gt;"",COUNT(Spectra!$D$5:$D$40)&gt;0),EXP(0.026742553710937*(M15-51.576165618406904))/0.45888671875,"")</f>
        <v/>
      </c>
      <c r="O15">
        <f>IF(AND(Report!$D$6&lt;&gt;"",COUNT(Spectra!$D$5:$D$40)&gt;0),K15/N15,"")</f>
        <v/>
      </c>
      <c r="P15">
        <f>IF(AND(Report!$D$6&lt;&gt;"",COUNT(Spectra!$D$5:$D$40)&gt;0),IF(AND(L15&gt;1,L15&lt;181),SIN(RADIANS(L15-1))^3,0)+IF(AND(L15&gt;104,L15&lt;284),0.39*COS(RADIANS(L15-14))^2,0),"")</f>
        <v/>
      </c>
      <c r="Q15">
        <f>IF(AND(Report!$D$6&lt;&gt;"",COUNT(Spectra!$D$5:$D$40)&gt;0),62*(P15+0.31),"")</f>
        <v/>
      </c>
      <c r="R15">
        <f>IF(AND(Report!$D$6&lt;&gt;"",COUNT(Spectra!$D$5:$D$40)&gt;0),0.36*(P15+0.19),"")</f>
        <v/>
      </c>
      <c r="S15">
        <f>IF(AND(Report!$D$6&lt;&gt;"",COUNT(Spectra!$D$5:$D$40)&gt;0),Q15*(LN(O15/80+R15)-LN(R15)),"")</f>
        <v/>
      </c>
      <c r="T15">
        <f>IF(AND(Report!$D$6&lt;&gt;"",COUNT(Spectra!$D$5:$D$40)&gt;0),M15,"")</f>
        <v/>
      </c>
      <c r="U15">
        <f>IF(AND(Report!$D$6&lt;&gt;"",COUNT(Spectra!$D$5:$D$40)&gt;0),S15*COS(RADIANS(L15)),"")</f>
        <v/>
      </c>
      <c r="V15">
        <f>IF(AND(Report!$D$6&lt;&gt;"",COUNT(Spectra!$D$5:$D$40)&gt;0),S15*SIN(RADIANS(L15)),"")</f>
        <v/>
      </c>
      <c r="W15">
        <f>IF(AND(Report!$D$6&lt;&gt;"",COUNT(Spectra!$D$5:$D$40)&gt;0),IF(E15/INDEX(Matrices!$B$2:$B$17,C15)&gt;0.008856,(E15/INDEX(Matrices!$B$2:$B$17,C15))^(1/3),7.787*E15/INDEX(Matrices!$B$2:$B$17,C15)+16/116),"")</f>
        <v/>
      </c>
      <c r="X15">
        <f>IF(AND(Report!$D$6&lt;&gt;"",COUNT(Spectra!$D$5:$D$40)&gt;0),IF(F15/INDEX(Matrices!$C$2:$C$17,C15)&gt;0.008856,(F15/INDEX(Matrices!$C$2:$C$17,C15))^(1/3),7.787*F15/INDEX(Matrices!$C$2:$C$17,C15)+16/116),"")</f>
        <v/>
      </c>
      <c r="Y15">
        <f>IF(AND(Report!$D$6&lt;&gt;"",COUNT(Spectra!$D$5:$D$40)&gt;0),IF(G15/INDEX(Matrices!$D$2:$D$17,C15)&gt;0.008856,(G15/INDEX(Matrices!$D$2:$D$17,C15))^(1/3),7.787*G15/INDEX(Matrices!$D$2:$D$17,C15)+16/116),"")</f>
        <v/>
      </c>
      <c r="Z15">
        <f>IF(AND(Report!$D$6&lt;&gt;"",COUNT(Spectra!$D$5:$D$40)&gt;0),116*X15-16,"")</f>
        <v/>
      </c>
      <c r="AA15">
        <f>IF(AND(Report!$D$6&lt;&gt;"",COUNT(Spectra!$D$5:$D$40)&gt;0),500*(W15-X15),"")</f>
        <v/>
      </c>
      <c r="AB15">
        <f>IF(AND(Report!$D$6&lt;&gt;"",COUNT(Spectra!$D$5:$D$40)&gt;0),200*(X15-Y15),"")</f>
        <v/>
      </c>
    </row>
    <row r="16">
      <c r="A16" t="n">
        <v>3</v>
      </c>
      <c r="B16" t="n">
        <v>3</v>
      </c>
      <c r="C16">
        <f>IF(AND(Report!$E$6&lt;&gt;"",COUNT(Spectra!$D$5:$D$40)&gt;0),MATCH(Report!$E$6,Matrices!$A$2:$A$17,0),"")</f>
        <v/>
      </c>
      <c r="D16">
        <f>IF(AND(Report!$E$6&lt;&gt;"",COUNT(Spectra!$D$5:$D$40)&gt;0),MATCH(Report!$E$6,Weights!$B$3:$AW$3,0),"")</f>
        <v/>
      </c>
      <c r="E16">
        <f>IF(AND(Report!$E$6&lt;&gt;"",COUNT(Spectra!$D$5:$D$40)&gt;0),SUMPRODUCT(Spectra!$D$5:$D$40,INDEX(Weights!$B$5:$AW$40,0,D16+0))/Spectra!$N$5,"")</f>
        <v/>
      </c>
      <c r="F16">
        <f>IF(AND(Report!$E$6&lt;&gt;"",COUNT(Spectra!$D$5:$D$40)&gt;0),SUMPRODUCT(Spectra!$D$5:$D$40,INDEX(Weights!$B$5:$AW$40,0,D16+1))/Spectra!$N$5,"")</f>
        <v/>
      </c>
      <c r="G16">
        <f>IF(AND(Report!$E$6&lt;&gt;"",COUNT(Spectra!$D$5:$D$40)&gt;0),SUMPRODUCT(Spectra!$D$5:$D$40,INDEX(Weights!$B$5:$AW$40,0,D16+2))/Spectra!$N$5,"")</f>
        <v/>
      </c>
      <c r="H16">
        <f>IF(AND(Report!$E$6&lt;&gt;"",COUNT(Spectra!$D$5:$D$40)&gt;0),INDEX(Matrices!$E$2:$E$17,C16)*E16+INDEX(Matrices!$F$2:$F$17,C16)*F16+INDEX(Matrices!$G$2:$G$17,C16)*G16,"")</f>
        <v/>
      </c>
      <c r="I16">
        <f>IF(AND(Report!$E$6&lt;&gt;"",COUNT(Spectra!$D$5:$D$40)&gt;0),INDEX(Matrices!$H$2:$H$17,C16)*E16+INDEX(Matrices!$I$2:$I$17,C16)*F16+INDEX(Matrices!$J$2:$J$17,C16)*G16,"")</f>
        <v/>
      </c>
      <c r="J16">
        <f>IF(AND(Report!$E$6&lt;&gt;"",COUNT(Spectra!$D$5:$D$40)&gt;0),INDEX(Matrices!$K$2:$K$17,C16)*E16+INDEX(Matrices!$L$2:$L$17,C16)*F16+INDEX(Matrices!$M$2:$M$17,C16)*G16,"")</f>
        <v/>
      </c>
      <c r="K16">
        <f>IF(AND(Report!$E$6&lt;&gt;"",COUNT(Spectra!$D$5:$D$40)&gt;0),SQRT(I16^2+J16^2),"")</f>
        <v/>
      </c>
      <c r="L16">
        <f>IF(AND(Report!$E$6&lt;&gt;"",COUNT(Spectra!$D$5:$D$40)&gt;0),IF(K16=0,0,MOD(DEGREES(ATAN2(I16,J16)),360)),"")</f>
        <v/>
      </c>
      <c r="M16">
        <f>IF(AND(Report!$E$6&lt;&gt;"",COUNT(Spectra!$D$5:$D$40)&gt;0),IF(H16/100&gt;(6/29)^3,(H16/100)^(1/3),(1/3)*(29/6)^2*H16/100+16/116)*116-16,"")</f>
        <v/>
      </c>
      <c r="N16">
        <f>IF(AND(Report!$E$6&lt;&gt;"",COUNT(Spectra!$D$5:$D$40)&gt;0),EXP(0.026742553710937*(M16-51.576165618406904))/0.45888671875,"")</f>
        <v/>
      </c>
      <c r="O16">
        <f>IF(AND(Report!$E$6&lt;&gt;"",COUNT(Spectra!$D$5:$D$40)&gt;0),K16/N16,"")</f>
        <v/>
      </c>
      <c r="P16">
        <f>IF(AND(Report!$E$6&lt;&gt;"",COUNT(Spectra!$D$5:$D$40)&gt;0),IF(AND(L16&gt;1,L16&lt;181),SIN(RADIANS(L16-1))^3,0)+IF(AND(L16&gt;104,L16&lt;284),0.39*COS(RADIANS(L16-14))^2,0),"")</f>
        <v/>
      </c>
      <c r="Q16">
        <f>IF(AND(Report!$E$6&lt;&gt;"",COUNT(Spectra!$D$5:$D$40)&gt;0),62*(P16+0.31),"")</f>
        <v/>
      </c>
      <c r="R16">
        <f>IF(AND(Report!$E$6&lt;&gt;"",COUNT(Spectra!$D$5:$D$40)&gt;0),0.36*(P16+0.19),"")</f>
        <v/>
      </c>
      <c r="S16">
        <f>IF(AND(Report!$E$6&lt;&gt;"",COUNT(Spectra!$D$5:$D$40)&gt;0),Q16*(LN(O16/80+R16)-LN(R16)),"")</f>
        <v/>
      </c>
      <c r="T16">
        <f>IF(AND(Report!$E$6&lt;&gt;"",COUNT(Spectra!$D$5:$D$40)&gt;0),M16,"")</f>
        <v/>
      </c>
      <c r="U16">
        <f>IF(AND(Report!$E$6&lt;&gt;"",COUNT(Spectra!$D$5:$D$40)&gt;0),S16*COS(RADIANS(L16)),"")</f>
        <v/>
      </c>
      <c r="V16">
        <f>IF(AND(Report!$E$6&lt;&gt;"",COUNT(Spectra!$D$5:$D$40)&gt;0),S16*SIN(RADIANS(L16)),"")</f>
        <v/>
      </c>
      <c r="W16">
        <f>IF(AND(Report!$E$6&lt;&gt;"",COUNT(Spectra!$D$5:$D$40)&gt;0),IF(E16/INDEX(Matrices!$B$2:$B$17,C16)&gt;0.008856,(E16/INDEX(Matrices!$B$2:$B$17,C16))^(1/3),7.787*E16/INDEX(Matrices!$B$2:$B$17,C16)+16/116),"")</f>
        <v/>
      </c>
      <c r="X16">
        <f>IF(AND(Report!$E$6&lt;&gt;"",COUNT(Spectra!$D$5:$D$40)&gt;0),IF(F16/INDEX(Matrices!$C$2:$C$17,C16)&gt;0.008856,(F16/INDEX(Matrices!$C$2:$C$17,C16))^(1/3),7.787*F16/INDEX(Matrices!$C$2:$C$17,C16)+16/116),"")</f>
        <v/>
      </c>
      <c r="Y16">
        <f>IF(AND(Report!$E$6&lt;&gt;"",COUNT(Spectra!$D$5:$D$40)&gt;0),IF(G16/INDEX(Matrices!$D$2:$D$17,C16)&gt;0.008856,(G16/INDEX(Matrices!$D$2:$D$17,C16))^(1/3),7.787*G16/INDEX(Matrices!$D$2:$D$17,C16)+16/116),"")</f>
        <v/>
      </c>
      <c r="Z16">
        <f>IF(AND(Report!$E$6&lt;&gt;"",COUNT(Spectra!$D$5:$D$40)&gt;0),116*X16-16,"")</f>
        <v/>
      </c>
      <c r="AA16">
        <f>IF(AND(Report!$E$6&lt;&gt;"",COUNT(Spectra!$D$5:$D$40)&gt;0),500*(W16-X16),"")</f>
        <v/>
      </c>
      <c r="AB16">
        <f>IF(AND(Report!$E$6&lt;&gt;"",COUNT(Spectra!$D$5:$D$40)&gt;0),200*(X16-Y16),"")</f>
        <v/>
      </c>
    </row>
    <row r="17">
      <c r="A17" t="n">
        <v>3</v>
      </c>
      <c r="B17" t="n">
        <v>4</v>
      </c>
      <c r="C17">
        <f>IF(AND(Report!$F$6&lt;&gt;"",COUNT(Spectra!$D$5:$D$40)&gt;0),MATCH(Report!$F$6,Matrices!$A$2:$A$17,0),"")</f>
        <v/>
      </c>
      <c r="D17">
        <f>IF(AND(Report!$F$6&lt;&gt;"",COUNT(Spectra!$D$5:$D$40)&gt;0),MATCH(Report!$F$6,Weights!$B$3:$AW$3,0),"")</f>
        <v/>
      </c>
      <c r="E17">
        <f>IF(AND(Report!$F$6&lt;&gt;"",COUNT(Spectra!$D$5:$D$40)&gt;0),SUMPRODUCT(Spectra!$D$5:$D$40,INDEX(Weights!$B$5:$AW$40,0,D17+0))/Spectra!$N$5,"")</f>
        <v/>
      </c>
      <c r="F17">
        <f>IF(AND(Report!$F$6&lt;&gt;"",COUNT(Spectra!$D$5:$D$40)&gt;0),SUMPRODUCT(Spectra!$D$5:$D$40,INDEX(Weights!$B$5:$AW$40,0,D17+1))/Spectra!$N$5,"")</f>
        <v/>
      </c>
      <c r="G17">
        <f>IF(AND(Report!$F$6&lt;&gt;"",COUNT(Spectra!$D$5:$D$40)&gt;0),SUMPRODUCT(Spectra!$D$5:$D$40,INDEX(Weights!$B$5:$AW$40,0,D17+2))/Spectra!$N$5,"")</f>
        <v/>
      </c>
      <c r="H17">
        <f>IF(AND(Report!$F$6&lt;&gt;"",COUNT(Spectra!$D$5:$D$40)&gt;0),INDEX(Matrices!$E$2:$E$17,C17)*E17+INDEX(Matrices!$F$2:$F$17,C17)*F17+INDEX(Matrices!$G$2:$G$17,C17)*G17,"")</f>
        <v/>
      </c>
      <c r="I17">
        <f>IF(AND(Report!$F$6&lt;&gt;"",COUNT(Spectra!$D$5:$D$40)&gt;0),INDEX(Matrices!$H$2:$H$17,C17)*E17+INDEX(Matrices!$I$2:$I$17,C17)*F17+INDEX(Matrices!$J$2:$J$17,C17)*G17,"")</f>
        <v/>
      </c>
      <c r="J17">
        <f>IF(AND(Report!$F$6&lt;&gt;"",COUNT(Spectra!$D$5:$D$40)&gt;0),INDEX(Matrices!$K$2:$K$17,C17)*E17+INDEX(Matrices!$L$2:$L$17,C17)*F17+INDEX(Matrices!$M$2:$M$17,C17)*G17,"")</f>
        <v/>
      </c>
      <c r="K17">
        <f>IF(AND(Report!$F$6&lt;&gt;"",COUNT(Spectra!$D$5:$D$40)&gt;0),SQRT(I17^2+J17^2),"")</f>
        <v/>
      </c>
      <c r="L17">
        <f>IF(AND(Report!$F$6&lt;&gt;"",COUNT(Spectra!$D$5:$D$40)&gt;0),IF(K17=0,0,MOD(DEGREES(ATAN2(I17,J17)),360)),"")</f>
        <v/>
      </c>
      <c r="M17">
        <f>IF(AND(Report!$F$6&lt;&gt;"",COUNT(Spectra!$D$5:$D$40)&gt;0),IF(H17/100&gt;(6/29)^3,(H17/100)^(1/3),(1/3)*(29/6)^2*H17/100+16/116)*116-16,"")</f>
        <v/>
      </c>
      <c r="N17">
        <f>IF(AND(Report!$F$6&lt;&gt;"",COUNT(Spectra!$D$5:$D$40)&gt;0),EXP(0.026742553710937*(M17-51.576165618406904))/0.45888671875,"")</f>
        <v/>
      </c>
      <c r="O17">
        <f>IF(AND(Report!$F$6&lt;&gt;"",COUNT(Spectra!$D$5:$D$40)&gt;0),K17/N17,"")</f>
        <v/>
      </c>
      <c r="P17">
        <f>IF(AND(Report!$F$6&lt;&gt;"",COUNT(Spectra!$D$5:$D$40)&gt;0),IF(AND(L17&gt;1,L17&lt;181),SIN(RADIANS(L17-1))^3,0)+IF(AND(L17&gt;104,L17&lt;284),0.39*COS(RADIANS(L17-14))^2,0),"")</f>
        <v/>
      </c>
      <c r="Q17">
        <f>IF(AND(Report!$F$6&lt;&gt;"",COUNT(Spectra!$D$5:$D$40)&gt;0),62*(P17+0.31),"")</f>
        <v/>
      </c>
      <c r="R17">
        <f>IF(AND(Report!$F$6&lt;&gt;"",COUNT(Spectra!$D$5:$D$40)&gt;0),0.36*(P17+0.19),"")</f>
        <v/>
      </c>
      <c r="S17">
        <f>IF(AND(Report!$F$6&lt;&gt;"",COUNT(Spectra!$D$5:$D$40)&gt;0),Q17*(LN(O17/80+R17)-LN(R17)),"")</f>
        <v/>
      </c>
      <c r="T17">
        <f>IF(AND(Report!$F$6&lt;&gt;"",COUNT(Spectra!$D$5:$D$40)&gt;0),M17,"")</f>
        <v/>
      </c>
      <c r="U17">
        <f>IF(AND(Report!$F$6&lt;&gt;"",COUNT(Spectra!$D$5:$D$40)&gt;0),S17*COS(RADIANS(L17)),"")</f>
        <v/>
      </c>
      <c r="V17">
        <f>IF(AND(Report!$F$6&lt;&gt;"",COUNT(Spectra!$D$5:$D$40)&gt;0),S17*SIN(RADIANS(L17)),"")</f>
        <v/>
      </c>
      <c r="W17">
        <f>IF(AND(Report!$F$6&lt;&gt;"",COUNT(Spectra!$D$5:$D$40)&gt;0),IF(E17/INDEX(Matrices!$B$2:$B$17,C17)&gt;0.008856,(E17/INDEX(Matrices!$B$2:$B$17,C17))^(1/3),7.787*E17/INDEX(Matrices!$B$2:$B$17,C17)+16/116),"")</f>
        <v/>
      </c>
      <c r="X17">
        <f>IF(AND(Report!$F$6&lt;&gt;"",COUNT(Spectra!$D$5:$D$40)&gt;0),IF(F17/INDEX(Matrices!$C$2:$C$17,C17)&gt;0.008856,(F17/INDEX(Matrices!$C$2:$C$17,C17))^(1/3),7.787*F17/INDEX(Matrices!$C$2:$C$17,C17)+16/116),"")</f>
        <v/>
      </c>
      <c r="Y17">
        <f>IF(AND(Report!$F$6&lt;&gt;"",COUNT(Spectra!$D$5:$D$40)&gt;0),IF(G17/INDEX(Matrices!$D$2:$D$17,C17)&gt;0.008856,(G17/INDEX(Matrices!$D$2:$D$17,C17))^(1/3),7.787*G17/INDEX(Matrices!$D$2:$D$17,C17)+16/116),"")</f>
        <v/>
      </c>
      <c r="Z17">
        <f>IF(AND(Report!$F$6&lt;&gt;"",COUNT(Spectra!$D$5:$D$40)&gt;0),116*X17-16,"")</f>
        <v/>
      </c>
      <c r="AA17">
        <f>IF(AND(Report!$F$6&lt;&gt;"",COUNT(Spectra!$D$5:$D$40)&gt;0),500*(W17-X17),"")</f>
        <v/>
      </c>
      <c r="AB17">
        <f>IF(AND(Report!$F$6&lt;&gt;"",COUNT(Spectra!$D$5:$D$40)&gt;0),200*(X17-Y17),"")</f>
        <v/>
      </c>
    </row>
    <row r="18">
      <c r="A18" t="n">
        <v>3</v>
      </c>
      <c r="B18" t="n">
        <v>5</v>
      </c>
      <c r="C18">
        <f>IF(AND(Report!$G$6&lt;&gt;"",COUNT(Spectra!$D$5:$D$40)&gt;0),MATCH(Report!$G$6,Matrices!$A$2:$A$17,0),"")</f>
        <v/>
      </c>
      <c r="D18">
        <f>IF(AND(Report!$G$6&lt;&gt;"",COUNT(Spectra!$D$5:$D$40)&gt;0),MATCH(Report!$G$6,Weights!$B$3:$AW$3,0),"")</f>
        <v/>
      </c>
      <c r="E18">
        <f>IF(AND(Report!$G$6&lt;&gt;"",COUNT(Spectra!$D$5:$D$40)&gt;0),SUMPRODUCT(Spectra!$D$5:$D$40,INDEX(Weights!$B$5:$AW$40,0,D18+0))/Spectra!$N$5,"")</f>
        <v/>
      </c>
      <c r="F18">
        <f>IF(AND(Report!$G$6&lt;&gt;"",COUNT(Spectra!$D$5:$D$40)&gt;0),SUMPRODUCT(Spectra!$D$5:$D$40,INDEX(Weights!$B$5:$AW$40,0,D18+1))/Spectra!$N$5,"")</f>
        <v/>
      </c>
      <c r="G18">
        <f>IF(AND(Report!$G$6&lt;&gt;"",COUNT(Spectra!$D$5:$D$40)&gt;0),SUMPRODUCT(Spectra!$D$5:$D$40,INDEX(Weights!$B$5:$AW$40,0,D18+2))/Spectra!$N$5,"")</f>
        <v/>
      </c>
      <c r="H18">
        <f>IF(AND(Report!$G$6&lt;&gt;"",COUNT(Spectra!$D$5:$D$40)&gt;0),INDEX(Matrices!$E$2:$E$17,C18)*E18+INDEX(Matrices!$F$2:$F$17,C18)*F18+INDEX(Matrices!$G$2:$G$17,C18)*G18,"")</f>
        <v/>
      </c>
      <c r="I18">
        <f>IF(AND(Report!$G$6&lt;&gt;"",COUNT(Spectra!$D$5:$D$40)&gt;0),INDEX(Matrices!$H$2:$H$17,C18)*E18+INDEX(Matrices!$I$2:$I$17,C18)*F18+INDEX(Matrices!$J$2:$J$17,C18)*G18,"")</f>
        <v/>
      </c>
      <c r="J18">
        <f>IF(AND(Report!$G$6&lt;&gt;"",COUNT(Spectra!$D$5:$D$40)&gt;0),INDEX(Matrices!$K$2:$K$17,C18)*E18+INDEX(Matrices!$L$2:$L$17,C18)*F18+INDEX(Matrices!$M$2:$M$17,C18)*G18,"")</f>
        <v/>
      </c>
      <c r="K18">
        <f>IF(AND(Report!$G$6&lt;&gt;"",COUNT(Spectra!$D$5:$D$40)&gt;0),SQRT(I18^2+J18^2),"")</f>
        <v/>
      </c>
      <c r="L18">
        <f>IF(AND(Report!$G$6&lt;&gt;"",COUNT(Spectra!$D$5:$D$40)&gt;0),IF(K18=0,0,MOD(DEGREES(ATAN2(I18,J18)),360)),"")</f>
        <v/>
      </c>
      <c r="M18">
        <f>IF(AND(Report!$G$6&lt;&gt;"",COUNT(Spectra!$D$5:$D$40)&gt;0),IF(H18/100&gt;(6/29)^3,(H18/100)^(1/3),(1/3)*(29/6)^2*H18/100+16/116)*116-16,"")</f>
        <v/>
      </c>
      <c r="N18">
        <f>IF(AND(Report!$G$6&lt;&gt;"",COUNT(Spectra!$D$5:$D$40)&gt;0),EXP(0.026742553710937*(M18-51.576165618406904))/0.45888671875,"")</f>
        <v/>
      </c>
      <c r="O18">
        <f>IF(AND(Report!$G$6&lt;&gt;"",COUNT(Spectra!$D$5:$D$40)&gt;0),K18/N18,"")</f>
        <v/>
      </c>
      <c r="P18">
        <f>IF(AND(Report!$G$6&lt;&gt;"",COUNT(Spectra!$D$5:$D$40)&gt;0),IF(AND(L18&gt;1,L18&lt;181),SIN(RADIANS(L18-1))^3,0)+IF(AND(L18&gt;104,L18&lt;284),0.39*COS(RADIANS(L18-14))^2,0),"")</f>
        <v/>
      </c>
      <c r="Q18">
        <f>IF(AND(Report!$G$6&lt;&gt;"",COUNT(Spectra!$D$5:$D$40)&gt;0),62*(P18+0.31),"")</f>
        <v/>
      </c>
      <c r="R18">
        <f>IF(AND(Report!$G$6&lt;&gt;"",COUNT(Spectra!$D$5:$D$40)&gt;0),0.36*(P18+0.19),"")</f>
        <v/>
      </c>
      <c r="S18">
        <f>IF(AND(Report!$G$6&lt;&gt;"",COUNT(Spectra!$D$5:$D$40)&gt;0),Q18*(LN(O18/80+R18)-LN(R18)),"")</f>
        <v/>
      </c>
      <c r="T18">
        <f>IF(AND(Report!$G$6&lt;&gt;"",COUNT(Spectra!$D$5:$D$40)&gt;0),M18,"")</f>
        <v/>
      </c>
      <c r="U18">
        <f>IF(AND(Report!$G$6&lt;&gt;"",COUNT(Spectra!$D$5:$D$40)&gt;0),S18*COS(RADIANS(L18)),"")</f>
        <v/>
      </c>
      <c r="V18">
        <f>IF(AND(Report!$G$6&lt;&gt;"",COUNT(Spectra!$D$5:$D$40)&gt;0),S18*SIN(RADIANS(L18)),"")</f>
        <v/>
      </c>
      <c r="W18">
        <f>IF(AND(Report!$G$6&lt;&gt;"",COUNT(Spectra!$D$5:$D$40)&gt;0),IF(E18/INDEX(Matrices!$B$2:$B$17,C18)&gt;0.008856,(E18/INDEX(Matrices!$B$2:$B$17,C18))^(1/3),7.787*E18/INDEX(Matrices!$B$2:$B$17,C18)+16/116),"")</f>
        <v/>
      </c>
      <c r="X18">
        <f>IF(AND(Report!$G$6&lt;&gt;"",COUNT(Spectra!$D$5:$D$40)&gt;0),IF(F18/INDEX(Matrices!$C$2:$C$17,C18)&gt;0.008856,(F18/INDEX(Matrices!$C$2:$C$17,C18))^(1/3),7.787*F18/INDEX(Matrices!$C$2:$C$17,C18)+16/116),"")</f>
        <v/>
      </c>
      <c r="Y18">
        <f>IF(AND(Report!$G$6&lt;&gt;"",COUNT(Spectra!$D$5:$D$40)&gt;0),IF(G18/INDEX(Matrices!$D$2:$D$17,C18)&gt;0.008856,(G18/INDEX(Matrices!$D$2:$D$17,C18))^(1/3),7.787*G18/INDEX(Matrices!$D$2:$D$17,C18)+16/116),"")</f>
        <v/>
      </c>
      <c r="Z18">
        <f>IF(AND(Report!$G$6&lt;&gt;"",COUNT(Spectra!$D$5:$D$40)&gt;0),116*X18-16,"")</f>
        <v/>
      </c>
      <c r="AA18">
        <f>IF(AND(Report!$G$6&lt;&gt;"",COUNT(Spectra!$D$5:$D$40)&gt;0),500*(W18-X18),"")</f>
        <v/>
      </c>
      <c r="AB18">
        <f>IF(AND(Report!$G$6&lt;&gt;"",COUNT(Spectra!$D$5:$D$40)&gt;0),200*(X18-Y18),"")</f>
        <v/>
      </c>
    </row>
    <row r="19">
      <c r="A19" t="n">
        <v>3</v>
      </c>
      <c r="B19" t="n">
        <v>6</v>
      </c>
      <c r="C19">
        <f>IF(AND(Report!$H$6&lt;&gt;"",COUNT(Spectra!$D$5:$D$40)&gt;0),MATCH(Report!$H$6,Matrices!$A$2:$A$17,0),"")</f>
        <v/>
      </c>
      <c r="D19">
        <f>IF(AND(Report!$H$6&lt;&gt;"",COUNT(Spectra!$D$5:$D$40)&gt;0),MATCH(Report!$H$6,Weights!$B$3:$AW$3,0),"")</f>
        <v/>
      </c>
      <c r="E19">
        <f>IF(AND(Report!$H$6&lt;&gt;"",COUNT(Spectra!$D$5:$D$40)&gt;0),SUMPRODUCT(Spectra!$D$5:$D$40,INDEX(Weights!$B$5:$AW$40,0,D19+0))/Spectra!$N$5,"")</f>
        <v/>
      </c>
      <c r="F19">
        <f>IF(AND(Report!$H$6&lt;&gt;"",COUNT(Spectra!$D$5:$D$40)&gt;0),SUMPRODUCT(Spectra!$D$5:$D$40,INDEX(Weights!$B$5:$AW$40,0,D19+1))/Spectra!$N$5,"")</f>
        <v/>
      </c>
      <c r="G19">
        <f>IF(AND(Report!$H$6&lt;&gt;"",COUNT(Spectra!$D$5:$D$40)&gt;0),SUMPRODUCT(Spectra!$D$5:$D$40,INDEX(Weights!$B$5:$AW$40,0,D19+2))/Spectra!$N$5,"")</f>
        <v/>
      </c>
      <c r="H19">
        <f>IF(AND(Report!$H$6&lt;&gt;"",COUNT(Spectra!$D$5:$D$40)&gt;0),INDEX(Matrices!$E$2:$E$17,C19)*E19+INDEX(Matrices!$F$2:$F$17,C19)*F19+INDEX(Matrices!$G$2:$G$17,C19)*G19,"")</f>
        <v/>
      </c>
      <c r="I19">
        <f>IF(AND(Report!$H$6&lt;&gt;"",COUNT(Spectra!$D$5:$D$40)&gt;0),INDEX(Matrices!$H$2:$H$17,C19)*E19+INDEX(Matrices!$I$2:$I$17,C19)*F19+INDEX(Matrices!$J$2:$J$17,C19)*G19,"")</f>
        <v/>
      </c>
      <c r="J19">
        <f>IF(AND(Report!$H$6&lt;&gt;"",COUNT(Spectra!$D$5:$D$40)&gt;0),INDEX(Matrices!$K$2:$K$17,C19)*E19+INDEX(Matrices!$L$2:$L$17,C19)*F19+INDEX(Matrices!$M$2:$M$17,C19)*G19,"")</f>
        <v/>
      </c>
      <c r="K19">
        <f>IF(AND(Report!$H$6&lt;&gt;"",COUNT(Spectra!$D$5:$D$40)&gt;0),SQRT(I19^2+J19^2),"")</f>
        <v/>
      </c>
      <c r="L19">
        <f>IF(AND(Report!$H$6&lt;&gt;"",COUNT(Spectra!$D$5:$D$40)&gt;0),IF(K19=0,0,MOD(DEGREES(ATAN2(I19,J19)),360)),"")</f>
        <v/>
      </c>
      <c r="M19">
        <f>IF(AND(Report!$H$6&lt;&gt;"",COUNT(Spectra!$D$5:$D$40)&gt;0),IF(H19/100&gt;(6/29)^3,(H19/100)^(1/3),(1/3)*(29/6)^2*H19/100+16/116)*116-16,"")</f>
        <v/>
      </c>
      <c r="N19">
        <f>IF(AND(Report!$H$6&lt;&gt;"",COUNT(Spectra!$D$5:$D$40)&gt;0),EXP(0.026742553710937*(M19-51.576165618406904))/0.45888671875,"")</f>
        <v/>
      </c>
      <c r="O19">
        <f>IF(AND(Report!$H$6&lt;&gt;"",COUNT(Spectra!$D$5:$D$40)&gt;0),K19/N19,"")</f>
        <v/>
      </c>
      <c r="P19">
        <f>IF(AND(Report!$H$6&lt;&gt;"",COUNT(Spectra!$D$5:$D$40)&gt;0),IF(AND(L19&gt;1,L19&lt;181),SIN(RADIANS(L19-1))^3,0)+IF(AND(L19&gt;104,L19&lt;284),0.39*COS(RADIANS(L19-14))^2,0),"")</f>
        <v/>
      </c>
      <c r="Q19">
        <f>IF(AND(Report!$H$6&lt;&gt;"",COUNT(Spectra!$D$5:$D$40)&gt;0),62*(P19+0.31),"")</f>
        <v/>
      </c>
      <c r="R19">
        <f>IF(AND(Report!$H$6&lt;&gt;"",COUNT(Spectra!$D$5:$D$40)&gt;0),0.36*(P19+0.19),"")</f>
        <v/>
      </c>
      <c r="S19">
        <f>IF(AND(Report!$H$6&lt;&gt;"",COUNT(Spectra!$D$5:$D$40)&gt;0),Q19*(LN(O19/80+R19)-LN(R19)),"")</f>
        <v/>
      </c>
      <c r="T19">
        <f>IF(AND(Report!$H$6&lt;&gt;"",COUNT(Spectra!$D$5:$D$40)&gt;0),M19,"")</f>
        <v/>
      </c>
      <c r="U19">
        <f>IF(AND(Report!$H$6&lt;&gt;"",COUNT(Spectra!$D$5:$D$40)&gt;0),S19*COS(RADIANS(L19)),"")</f>
        <v/>
      </c>
      <c r="V19">
        <f>IF(AND(Report!$H$6&lt;&gt;"",COUNT(Spectra!$D$5:$D$40)&gt;0),S19*SIN(RADIANS(L19)),"")</f>
        <v/>
      </c>
      <c r="W19">
        <f>IF(AND(Report!$H$6&lt;&gt;"",COUNT(Spectra!$D$5:$D$40)&gt;0),IF(E19/INDEX(Matrices!$B$2:$B$17,C19)&gt;0.008856,(E19/INDEX(Matrices!$B$2:$B$17,C19))^(1/3),7.787*E19/INDEX(Matrices!$B$2:$B$17,C19)+16/116),"")</f>
        <v/>
      </c>
      <c r="X19">
        <f>IF(AND(Report!$H$6&lt;&gt;"",COUNT(Spectra!$D$5:$D$40)&gt;0),IF(F19/INDEX(Matrices!$C$2:$C$17,C19)&gt;0.008856,(F19/INDEX(Matrices!$C$2:$C$17,C19))^(1/3),7.787*F19/INDEX(Matrices!$C$2:$C$17,C19)+16/116),"")</f>
        <v/>
      </c>
      <c r="Y19">
        <f>IF(AND(Report!$H$6&lt;&gt;"",COUNT(Spectra!$D$5:$D$40)&gt;0),IF(G19/INDEX(Matrices!$D$2:$D$17,C19)&gt;0.008856,(G19/INDEX(Matrices!$D$2:$D$17,C19))^(1/3),7.787*G19/INDEX(Matrices!$D$2:$D$17,C19)+16/116),"")</f>
        <v/>
      </c>
      <c r="Z19">
        <f>IF(AND(Report!$H$6&lt;&gt;"",COUNT(Spectra!$D$5:$D$40)&gt;0),116*X19-16,"")</f>
        <v/>
      </c>
      <c r="AA19">
        <f>IF(AND(Report!$H$6&lt;&gt;"",COUNT(Spectra!$D$5:$D$40)&gt;0),500*(W19-X19),"")</f>
        <v/>
      </c>
      <c r="AB19">
        <f>IF(AND(Report!$H$6&lt;&gt;"",COUNT(Spectra!$D$5:$D$40)&gt;0),200*(X19-Y19),"")</f>
        <v/>
      </c>
    </row>
    <row r="20">
      <c r="A20" t="n">
        <v>4</v>
      </c>
      <c r="B20" t="n">
        <v>1</v>
      </c>
      <c r="C20">
        <f>IF(AND(Report!$C$6&lt;&gt;"",COUNT(Spectra!$E$5:$E$40)&gt;0),MATCH(Report!$C$6,Matrices!$A$2:$A$17,0),"")</f>
        <v/>
      </c>
      <c r="D20">
        <f>IF(AND(Report!$C$6&lt;&gt;"",COUNT(Spectra!$E$5:$E$40)&gt;0),MATCH(Report!$C$6,Weights!$B$3:$AW$3,0),"")</f>
        <v/>
      </c>
      <c r="E20">
        <f>IF(AND(Report!$C$6&lt;&gt;"",COUNT(Spectra!$E$5:$E$40)&gt;0),SUMPRODUCT(Spectra!$E$5:$E$40,INDEX(Weights!$B$5:$AW$40,0,D20+0))/Spectra!$N$5,"")</f>
        <v/>
      </c>
      <c r="F20">
        <f>IF(AND(Report!$C$6&lt;&gt;"",COUNT(Spectra!$E$5:$E$40)&gt;0),SUMPRODUCT(Spectra!$E$5:$E$40,INDEX(Weights!$B$5:$AW$40,0,D20+1))/Spectra!$N$5,"")</f>
        <v/>
      </c>
      <c r="G20">
        <f>IF(AND(Report!$C$6&lt;&gt;"",COUNT(Spectra!$E$5:$E$40)&gt;0),SUMPRODUCT(Spectra!$E$5:$E$40,INDEX(Weights!$B$5:$AW$40,0,D20+2))/Spectra!$N$5,"")</f>
        <v/>
      </c>
      <c r="H20">
        <f>IF(AND(Report!$C$6&lt;&gt;"",COUNT(Spectra!$E$5:$E$40)&gt;0),INDEX(Matrices!$E$2:$E$17,C20)*E20+INDEX(Matrices!$F$2:$F$17,C20)*F20+INDEX(Matrices!$G$2:$G$17,C20)*G20,"")</f>
        <v/>
      </c>
      <c r="I20">
        <f>IF(AND(Report!$C$6&lt;&gt;"",COUNT(Spectra!$E$5:$E$40)&gt;0),INDEX(Matrices!$H$2:$H$17,C20)*E20+INDEX(Matrices!$I$2:$I$17,C20)*F20+INDEX(Matrices!$J$2:$J$17,C20)*G20,"")</f>
        <v/>
      </c>
      <c r="J20">
        <f>IF(AND(Report!$C$6&lt;&gt;"",COUNT(Spectra!$E$5:$E$40)&gt;0),INDEX(Matrices!$K$2:$K$17,C20)*E20+INDEX(Matrices!$L$2:$L$17,C20)*F20+INDEX(Matrices!$M$2:$M$17,C20)*G20,"")</f>
        <v/>
      </c>
      <c r="K20">
        <f>IF(AND(Report!$C$6&lt;&gt;"",COUNT(Spectra!$E$5:$E$40)&gt;0),SQRT(I20^2+J20^2),"")</f>
        <v/>
      </c>
      <c r="L20">
        <f>IF(AND(Report!$C$6&lt;&gt;"",COUNT(Spectra!$E$5:$E$40)&gt;0),IF(K20=0,0,MOD(DEGREES(ATAN2(I20,J20)),360)),"")</f>
        <v/>
      </c>
      <c r="M20">
        <f>IF(AND(Report!$C$6&lt;&gt;"",COUNT(Spectra!$E$5:$E$40)&gt;0),IF(H20/100&gt;(6/29)^3,(H20/100)^(1/3),(1/3)*(29/6)^2*H20/100+16/116)*116-16,"")</f>
        <v/>
      </c>
      <c r="N20">
        <f>IF(AND(Report!$C$6&lt;&gt;"",COUNT(Spectra!$E$5:$E$40)&gt;0),EXP(0.026742553710937*(M20-51.576165618406904))/0.45888671875,"")</f>
        <v/>
      </c>
      <c r="O20">
        <f>IF(AND(Report!$C$6&lt;&gt;"",COUNT(Spectra!$E$5:$E$40)&gt;0),K20/N20,"")</f>
        <v/>
      </c>
      <c r="P20">
        <f>IF(AND(Report!$C$6&lt;&gt;"",COUNT(Spectra!$E$5:$E$40)&gt;0),IF(AND(L20&gt;1,L20&lt;181),SIN(RADIANS(L20-1))^3,0)+IF(AND(L20&gt;104,L20&lt;284),0.39*COS(RADIANS(L20-14))^2,0),"")</f>
        <v/>
      </c>
      <c r="Q20">
        <f>IF(AND(Report!$C$6&lt;&gt;"",COUNT(Spectra!$E$5:$E$40)&gt;0),62*(P20+0.31),"")</f>
        <v/>
      </c>
      <c r="R20">
        <f>IF(AND(Report!$C$6&lt;&gt;"",COUNT(Spectra!$E$5:$E$40)&gt;0),0.36*(P20+0.19),"")</f>
        <v/>
      </c>
      <c r="S20">
        <f>IF(AND(Report!$C$6&lt;&gt;"",COUNT(Spectra!$E$5:$E$40)&gt;0),Q20*(LN(O20/80+R20)-LN(R20)),"")</f>
        <v/>
      </c>
      <c r="T20">
        <f>IF(AND(Report!$C$6&lt;&gt;"",COUNT(Spectra!$E$5:$E$40)&gt;0),M20,"")</f>
        <v/>
      </c>
      <c r="U20">
        <f>IF(AND(Report!$C$6&lt;&gt;"",COUNT(Spectra!$E$5:$E$40)&gt;0),S20*COS(RADIANS(L20)),"")</f>
        <v/>
      </c>
      <c r="V20">
        <f>IF(AND(Report!$C$6&lt;&gt;"",COUNT(Spectra!$E$5:$E$40)&gt;0),S20*SIN(RADIANS(L20)),"")</f>
        <v/>
      </c>
      <c r="W20">
        <f>IF(AND(Report!$C$6&lt;&gt;"",COUNT(Spectra!$E$5:$E$40)&gt;0),IF(E20/INDEX(Matrices!$B$2:$B$17,C20)&gt;0.008856,(E20/INDEX(Matrices!$B$2:$B$17,C20))^(1/3),7.787*E20/INDEX(Matrices!$B$2:$B$17,C20)+16/116),"")</f>
        <v/>
      </c>
      <c r="X20">
        <f>IF(AND(Report!$C$6&lt;&gt;"",COUNT(Spectra!$E$5:$E$40)&gt;0),IF(F20/INDEX(Matrices!$C$2:$C$17,C20)&gt;0.008856,(F20/INDEX(Matrices!$C$2:$C$17,C20))^(1/3),7.787*F20/INDEX(Matrices!$C$2:$C$17,C20)+16/116),"")</f>
        <v/>
      </c>
      <c r="Y20">
        <f>IF(AND(Report!$C$6&lt;&gt;"",COUNT(Spectra!$E$5:$E$40)&gt;0),IF(G20/INDEX(Matrices!$D$2:$D$17,C20)&gt;0.008856,(G20/INDEX(Matrices!$D$2:$D$17,C20))^(1/3),7.787*G20/INDEX(Matrices!$D$2:$D$17,C20)+16/116),"")</f>
        <v/>
      </c>
      <c r="Z20">
        <f>IF(AND(Report!$C$6&lt;&gt;"",COUNT(Spectra!$E$5:$E$40)&gt;0),116*X20-16,"")</f>
        <v/>
      </c>
      <c r="AA20">
        <f>IF(AND(Report!$C$6&lt;&gt;"",COUNT(Spectra!$E$5:$E$40)&gt;0),500*(W20-X20),"")</f>
        <v/>
      </c>
      <c r="AB20">
        <f>IF(AND(Report!$C$6&lt;&gt;"",COUNT(Spectra!$E$5:$E$40)&gt;0),200*(X20-Y20),"")</f>
        <v/>
      </c>
    </row>
    <row r="21">
      <c r="A21" t="n">
        <v>4</v>
      </c>
      <c r="B21" t="n">
        <v>2</v>
      </c>
      <c r="C21">
        <f>IF(AND(Report!$D$6&lt;&gt;"",COUNT(Spectra!$E$5:$E$40)&gt;0),MATCH(Report!$D$6,Matrices!$A$2:$A$17,0),"")</f>
        <v/>
      </c>
      <c r="D21">
        <f>IF(AND(Report!$D$6&lt;&gt;"",COUNT(Spectra!$E$5:$E$40)&gt;0),MATCH(Report!$D$6,Weights!$B$3:$AW$3,0),"")</f>
        <v/>
      </c>
      <c r="E21">
        <f>IF(AND(Report!$D$6&lt;&gt;"",COUNT(Spectra!$E$5:$E$40)&gt;0),SUMPRODUCT(Spectra!$E$5:$E$40,INDEX(Weights!$B$5:$AW$40,0,D21+0))/Spectra!$N$5,"")</f>
        <v/>
      </c>
      <c r="F21">
        <f>IF(AND(Report!$D$6&lt;&gt;"",COUNT(Spectra!$E$5:$E$40)&gt;0),SUMPRODUCT(Spectra!$E$5:$E$40,INDEX(Weights!$B$5:$AW$40,0,D21+1))/Spectra!$N$5,"")</f>
        <v/>
      </c>
      <c r="G21">
        <f>IF(AND(Report!$D$6&lt;&gt;"",COUNT(Spectra!$E$5:$E$40)&gt;0),SUMPRODUCT(Spectra!$E$5:$E$40,INDEX(Weights!$B$5:$AW$40,0,D21+2))/Spectra!$N$5,"")</f>
        <v/>
      </c>
      <c r="H21">
        <f>IF(AND(Report!$D$6&lt;&gt;"",COUNT(Spectra!$E$5:$E$40)&gt;0),INDEX(Matrices!$E$2:$E$17,C21)*E21+INDEX(Matrices!$F$2:$F$17,C21)*F21+INDEX(Matrices!$G$2:$G$17,C21)*G21,"")</f>
        <v/>
      </c>
      <c r="I21">
        <f>IF(AND(Report!$D$6&lt;&gt;"",COUNT(Spectra!$E$5:$E$40)&gt;0),INDEX(Matrices!$H$2:$H$17,C21)*E21+INDEX(Matrices!$I$2:$I$17,C21)*F21+INDEX(Matrices!$J$2:$J$17,C21)*G21,"")</f>
        <v/>
      </c>
      <c r="J21">
        <f>IF(AND(Report!$D$6&lt;&gt;"",COUNT(Spectra!$E$5:$E$40)&gt;0),INDEX(Matrices!$K$2:$K$17,C21)*E21+INDEX(Matrices!$L$2:$L$17,C21)*F21+INDEX(Matrices!$M$2:$M$17,C21)*G21,"")</f>
        <v/>
      </c>
      <c r="K21">
        <f>IF(AND(Report!$D$6&lt;&gt;"",COUNT(Spectra!$E$5:$E$40)&gt;0),SQRT(I21^2+J21^2),"")</f>
        <v/>
      </c>
      <c r="L21">
        <f>IF(AND(Report!$D$6&lt;&gt;"",COUNT(Spectra!$E$5:$E$40)&gt;0),IF(K21=0,0,MOD(DEGREES(ATAN2(I21,J21)),360)),"")</f>
        <v/>
      </c>
      <c r="M21">
        <f>IF(AND(Report!$D$6&lt;&gt;"",COUNT(Spectra!$E$5:$E$40)&gt;0),IF(H21/100&gt;(6/29)^3,(H21/100)^(1/3),(1/3)*(29/6)^2*H21/100+16/116)*116-16,"")</f>
        <v/>
      </c>
      <c r="N21">
        <f>IF(AND(Report!$D$6&lt;&gt;"",COUNT(Spectra!$E$5:$E$40)&gt;0),EXP(0.026742553710937*(M21-51.576165618406904))/0.45888671875,"")</f>
        <v/>
      </c>
      <c r="O21">
        <f>IF(AND(Report!$D$6&lt;&gt;"",COUNT(Spectra!$E$5:$E$40)&gt;0),K21/N21,"")</f>
        <v/>
      </c>
      <c r="P21">
        <f>IF(AND(Report!$D$6&lt;&gt;"",COUNT(Spectra!$E$5:$E$40)&gt;0),IF(AND(L21&gt;1,L21&lt;181),SIN(RADIANS(L21-1))^3,0)+IF(AND(L21&gt;104,L21&lt;284),0.39*COS(RADIANS(L21-14))^2,0),"")</f>
        <v/>
      </c>
      <c r="Q21">
        <f>IF(AND(Report!$D$6&lt;&gt;"",COUNT(Spectra!$E$5:$E$40)&gt;0),62*(P21+0.31),"")</f>
        <v/>
      </c>
      <c r="R21">
        <f>IF(AND(Report!$D$6&lt;&gt;"",COUNT(Spectra!$E$5:$E$40)&gt;0),0.36*(P21+0.19),"")</f>
        <v/>
      </c>
      <c r="S21">
        <f>IF(AND(Report!$D$6&lt;&gt;"",COUNT(Spectra!$E$5:$E$40)&gt;0),Q21*(LN(O21/80+R21)-LN(R21)),"")</f>
        <v/>
      </c>
      <c r="T21">
        <f>IF(AND(Report!$D$6&lt;&gt;"",COUNT(Spectra!$E$5:$E$40)&gt;0),M21,"")</f>
        <v/>
      </c>
      <c r="U21">
        <f>IF(AND(Report!$D$6&lt;&gt;"",COUNT(Spectra!$E$5:$E$40)&gt;0),S21*COS(RADIANS(L21)),"")</f>
        <v/>
      </c>
      <c r="V21">
        <f>IF(AND(Report!$D$6&lt;&gt;"",COUNT(Spectra!$E$5:$E$40)&gt;0),S21*SIN(RADIANS(L21)),"")</f>
        <v/>
      </c>
      <c r="W21">
        <f>IF(AND(Report!$D$6&lt;&gt;"",COUNT(Spectra!$E$5:$E$40)&gt;0),IF(E21/INDEX(Matrices!$B$2:$B$17,C21)&gt;0.008856,(E21/INDEX(Matrices!$B$2:$B$17,C21))^(1/3),7.787*E21/INDEX(Matrices!$B$2:$B$17,C21)+16/116),"")</f>
        <v/>
      </c>
      <c r="X21">
        <f>IF(AND(Report!$D$6&lt;&gt;"",COUNT(Spectra!$E$5:$E$40)&gt;0),IF(F21/INDEX(Matrices!$C$2:$C$17,C21)&gt;0.008856,(F21/INDEX(Matrices!$C$2:$C$17,C21))^(1/3),7.787*F21/INDEX(Matrices!$C$2:$C$17,C21)+16/116),"")</f>
        <v/>
      </c>
      <c r="Y21">
        <f>IF(AND(Report!$D$6&lt;&gt;"",COUNT(Spectra!$E$5:$E$40)&gt;0),IF(G21/INDEX(Matrices!$D$2:$D$17,C21)&gt;0.008856,(G21/INDEX(Matrices!$D$2:$D$17,C21))^(1/3),7.787*G21/INDEX(Matrices!$D$2:$D$17,C21)+16/116),"")</f>
        <v/>
      </c>
      <c r="Z21">
        <f>IF(AND(Report!$D$6&lt;&gt;"",COUNT(Spectra!$E$5:$E$40)&gt;0),116*X21-16,"")</f>
        <v/>
      </c>
      <c r="AA21">
        <f>IF(AND(Report!$D$6&lt;&gt;"",COUNT(Spectra!$E$5:$E$40)&gt;0),500*(W21-X21),"")</f>
        <v/>
      </c>
      <c r="AB21">
        <f>IF(AND(Report!$D$6&lt;&gt;"",COUNT(Spectra!$E$5:$E$40)&gt;0),200*(X21-Y21),"")</f>
        <v/>
      </c>
    </row>
    <row r="22">
      <c r="A22" t="n">
        <v>4</v>
      </c>
      <c r="B22" t="n">
        <v>3</v>
      </c>
      <c r="C22">
        <f>IF(AND(Report!$E$6&lt;&gt;"",COUNT(Spectra!$E$5:$E$40)&gt;0),MATCH(Report!$E$6,Matrices!$A$2:$A$17,0),"")</f>
        <v/>
      </c>
      <c r="D22">
        <f>IF(AND(Report!$E$6&lt;&gt;"",COUNT(Spectra!$E$5:$E$40)&gt;0),MATCH(Report!$E$6,Weights!$B$3:$AW$3,0),"")</f>
        <v/>
      </c>
      <c r="E22">
        <f>IF(AND(Report!$E$6&lt;&gt;"",COUNT(Spectra!$E$5:$E$40)&gt;0),SUMPRODUCT(Spectra!$E$5:$E$40,INDEX(Weights!$B$5:$AW$40,0,D22+0))/Spectra!$N$5,"")</f>
        <v/>
      </c>
      <c r="F22">
        <f>IF(AND(Report!$E$6&lt;&gt;"",COUNT(Spectra!$E$5:$E$40)&gt;0),SUMPRODUCT(Spectra!$E$5:$E$40,INDEX(Weights!$B$5:$AW$40,0,D22+1))/Spectra!$N$5,"")</f>
        <v/>
      </c>
      <c r="G22">
        <f>IF(AND(Report!$E$6&lt;&gt;"",COUNT(Spectra!$E$5:$E$40)&gt;0),SUMPRODUCT(Spectra!$E$5:$E$40,INDEX(Weights!$B$5:$AW$40,0,D22+2))/Spectra!$N$5,"")</f>
        <v/>
      </c>
      <c r="H22">
        <f>IF(AND(Report!$E$6&lt;&gt;"",COUNT(Spectra!$E$5:$E$40)&gt;0),INDEX(Matrices!$E$2:$E$17,C22)*E22+INDEX(Matrices!$F$2:$F$17,C22)*F22+INDEX(Matrices!$G$2:$G$17,C22)*G22,"")</f>
        <v/>
      </c>
      <c r="I22">
        <f>IF(AND(Report!$E$6&lt;&gt;"",COUNT(Spectra!$E$5:$E$40)&gt;0),INDEX(Matrices!$H$2:$H$17,C22)*E22+INDEX(Matrices!$I$2:$I$17,C22)*F22+INDEX(Matrices!$J$2:$J$17,C22)*G22,"")</f>
        <v/>
      </c>
      <c r="J22">
        <f>IF(AND(Report!$E$6&lt;&gt;"",COUNT(Spectra!$E$5:$E$40)&gt;0),INDEX(Matrices!$K$2:$K$17,C22)*E22+INDEX(Matrices!$L$2:$L$17,C22)*F22+INDEX(Matrices!$M$2:$M$17,C22)*G22,"")</f>
        <v/>
      </c>
      <c r="K22">
        <f>IF(AND(Report!$E$6&lt;&gt;"",COUNT(Spectra!$E$5:$E$40)&gt;0),SQRT(I22^2+J22^2),"")</f>
        <v/>
      </c>
      <c r="L22">
        <f>IF(AND(Report!$E$6&lt;&gt;"",COUNT(Spectra!$E$5:$E$40)&gt;0),IF(K22=0,0,MOD(DEGREES(ATAN2(I22,J22)),360)),"")</f>
        <v/>
      </c>
      <c r="M22">
        <f>IF(AND(Report!$E$6&lt;&gt;"",COUNT(Spectra!$E$5:$E$40)&gt;0),IF(H22/100&gt;(6/29)^3,(H22/100)^(1/3),(1/3)*(29/6)^2*H22/100+16/116)*116-16,"")</f>
        <v/>
      </c>
      <c r="N22">
        <f>IF(AND(Report!$E$6&lt;&gt;"",COUNT(Spectra!$E$5:$E$40)&gt;0),EXP(0.026742553710937*(M22-51.576165618406904))/0.45888671875,"")</f>
        <v/>
      </c>
      <c r="O22">
        <f>IF(AND(Report!$E$6&lt;&gt;"",COUNT(Spectra!$E$5:$E$40)&gt;0),K22/N22,"")</f>
        <v/>
      </c>
      <c r="P22">
        <f>IF(AND(Report!$E$6&lt;&gt;"",COUNT(Spectra!$E$5:$E$40)&gt;0),IF(AND(L22&gt;1,L22&lt;181),SIN(RADIANS(L22-1))^3,0)+IF(AND(L22&gt;104,L22&lt;284),0.39*COS(RADIANS(L22-14))^2,0),"")</f>
        <v/>
      </c>
      <c r="Q22">
        <f>IF(AND(Report!$E$6&lt;&gt;"",COUNT(Spectra!$E$5:$E$40)&gt;0),62*(P22+0.31),"")</f>
        <v/>
      </c>
      <c r="R22">
        <f>IF(AND(Report!$E$6&lt;&gt;"",COUNT(Spectra!$E$5:$E$40)&gt;0),0.36*(P22+0.19),"")</f>
        <v/>
      </c>
      <c r="S22">
        <f>IF(AND(Report!$E$6&lt;&gt;"",COUNT(Spectra!$E$5:$E$40)&gt;0),Q22*(LN(O22/80+R22)-LN(R22)),"")</f>
        <v/>
      </c>
      <c r="T22">
        <f>IF(AND(Report!$E$6&lt;&gt;"",COUNT(Spectra!$E$5:$E$40)&gt;0),M22,"")</f>
        <v/>
      </c>
      <c r="U22">
        <f>IF(AND(Report!$E$6&lt;&gt;"",COUNT(Spectra!$E$5:$E$40)&gt;0),S22*COS(RADIANS(L22)),"")</f>
        <v/>
      </c>
      <c r="V22">
        <f>IF(AND(Report!$E$6&lt;&gt;"",COUNT(Spectra!$E$5:$E$40)&gt;0),S22*SIN(RADIANS(L22)),"")</f>
        <v/>
      </c>
      <c r="W22">
        <f>IF(AND(Report!$E$6&lt;&gt;"",COUNT(Spectra!$E$5:$E$40)&gt;0),IF(E22/INDEX(Matrices!$B$2:$B$17,C22)&gt;0.008856,(E22/INDEX(Matrices!$B$2:$B$17,C22))^(1/3),7.787*E22/INDEX(Matrices!$B$2:$B$17,C22)+16/116),"")</f>
        <v/>
      </c>
      <c r="X22">
        <f>IF(AND(Report!$E$6&lt;&gt;"",COUNT(Spectra!$E$5:$E$40)&gt;0),IF(F22/INDEX(Matrices!$C$2:$C$17,C22)&gt;0.008856,(F22/INDEX(Matrices!$C$2:$C$17,C22))^(1/3),7.787*F22/INDEX(Matrices!$C$2:$C$17,C22)+16/116),"")</f>
        <v/>
      </c>
      <c r="Y22">
        <f>IF(AND(Report!$E$6&lt;&gt;"",COUNT(Spectra!$E$5:$E$40)&gt;0),IF(G22/INDEX(Matrices!$D$2:$D$17,C22)&gt;0.008856,(G22/INDEX(Matrices!$D$2:$D$17,C22))^(1/3),7.787*G22/INDEX(Matrices!$D$2:$D$17,C22)+16/116),"")</f>
        <v/>
      </c>
      <c r="Z22">
        <f>IF(AND(Report!$E$6&lt;&gt;"",COUNT(Spectra!$E$5:$E$40)&gt;0),116*X22-16,"")</f>
        <v/>
      </c>
      <c r="AA22">
        <f>IF(AND(Report!$E$6&lt;&gt;"",COUNT(Spectra!$E$5:$E$40)&gt;0),500*(W22-X22),"")</f>
        <v/>
      </c>
      <c r="AB22">
        <f>IF(AND(Report!$E$6&lt;&gt;"",COUNT(Spectra!$E$5:$E$40)&gt;0),200*(X22-Y22),"")</f>
        <v/>
      </c>
    </row>
    <row r="23">
      <c r="A23" t="n">
        <v>4</v>
      </c>
      <c r="B23" t="n">
        <v>4</v>
      </c>
      <c r="C23">
        <f>IF(AND(Report!$F$6&lt;&gt;"",COUNT(Spectra!$E$5:$E$40)&gt;0),MATCH(Report!$F$6,Matrices!$A$2:$A$17,0),"")</f>
        <v/>
      </c>
      <c r="D23">
        <f>IF(AND(Report!$F$6&lt;&gt;"",COUNT(Spectra!$E$5:$E$40)&gt;0),MATCH(Report!$F$6,Weights!$B$3:$AW$3,0),"")</f>
        <v/>
      </c>
      <c r="E23">
        <f>IF(AND(Report!$F$6&lt;&gt;"",COUNT(Spectra!$E$5:$E$40)&gt;0),SUMPRODUCT(Spectra!$E$5:$E$40,INDEX(Weights!$B$5:$AW$40,0,D23+0))/Spectra!$N$5,"")</f>
        <v/>
      </c>
      <c r="F23">
        <f>IF(AND(Report!$F$6&lt;&gt;"",COUNT(Spectra!$E$5:$E$40)&gt;0),SUMPRODUCT(Spectra!$E$5:$E$40,INDEX(Weights!$B$5:$AW$40,0,D23+1))/Spectra!$N$5,"")</f>
        <v/>
      </c>
      <c r="G23">
        <f>IF(AND(Report!$F$6&lt;&gt;"",COUNT(Spectra!$E$5:$E$40)&gt;0),SUMPRODUCT(Spectra!$E$5:$E$40,INDEX(Weights!$B$5:$AW$40,0,D23+2))/Spectra!$N$5,"")</f>
        <v/>
      </c>
      <c r="H23">
        <f>IF(AND(Report!$F$6&lt;&gt;"",COUNT(Spectra!$E$5:$E$40)&gt;0),INDEX(Matrices!$E$2:$E$17,C23)*E23+INDEX(Matrices!$F$2:$F$17,C23)*F23+INDEX(Matrices!$G$2:$G$17,C23)*G23,"")</f>
        <v/>
      </c>
      <c r="I23">
        <f>IF(AND(Report!$F$6&lt;&gt;"",COUNT(Spectra!$E$5:$E$40)&gt;0),INDEX(Matrices!$H$2:$H$17,C23)*E23+INDEX(Matrices!$I$2:$I$17,C23)*F23+INDEX(Matrices!$J$2:$J$17,C23)*G23,"")</f>
        <v/>
      </c>
      <c r="J23">
        <f>IF(AND(Report!$F$6&lt;&gt;"",COUNT(Spectra!$E$5:$E$40)&gt;0),INDEX(Matrices!$K$2:$K$17,C23)*E23+INDEX(Matrices!$L$2:$L$17,C23)*F23+INDEX(Matrices!$M$2:$M$17,C23)*G23,"")</f>
        <v/>
      </c>
      <c r="K23">
        <f>IF(AND(Report!$F$6&lt;&gt;"",COUNT(Spectra!$E$5:$E$40)&gt;0),SQRT(I23^2+J23^2),"")</f>
        <v/>
      </c>
      <c r="L23">
        <f>IF(AND(Report!$F$6&lt;&gt;"",COUNT(Spectra!$E$5:$E$40)&gt;0),IF(K23=0,0,MOD(DEGREES(ATAN2(I23,J23)),360)),"")</f>
        <v/>
      </c>
      <c r="M23">
        <f>IF(AND(Report!$F$6&lt;&gt;"",COUNT(Spectra!$E$5:$E$40)&gt;0),IF(H23/100&gt;(6/29)^3,(H23/100)^(1/3),(1/3)*(29/6)^2*H23/100+16/116)*116-16,"")</f>
        <v/>
      </c>
      <c r="N23">
        <f>IF(AND(Report!$F$6&lt;&gt;"",COUNT(Spectra!$E$5:$E$40)&gt;0),EXP(0.026742553710937*(M23-51.576165618406904))/0.45888671875,"")</f>
        <v/>
      </c>
      <c r="O23">
        <f>IF(AND(Report!$F$6&lt;&gt;"",COUNT(Spectra!$E$5:$E$40)&gt;0),K23/N23,"")</f>
        <v/>
      </c>
      <c r="P23">
        <f>IF(AND(Report!$F$6&lt;&gt;"",COUNT(Spectra!$E$5:$E$40)&gt;0),IF(AND(L23&gt;1,L23&lt;181),SIN(RADIANS(L23-1))^3,0)+IF(AND(L23&gt;104,L23&lt;284),0.39*COS(RADIANS(L23-14))^2,0),"")</f>
        <v/>
      </c>
      <c r="Q23">
        <f>IF(AND(Report!$F$6&lt;&gt;"",COUNT(Spectra!$E$5:$E$40)&gt;0),62*(P23+0.31),"")</f>
        <v/>
      </c>
      <c r="R23">
        <f>IF(AND(Report!$F$6&lt;&gt;"",COUNT(Spectra!$E$5:$E$40)&gt;0),0.36*(P23+0.19),"")</f>
        <v/>
      </c>
      <c r="S23">
        <f>IF(AND(Report!$F$6&lt;&gt;"",COUNT(Spectra!$E$5:$E$40)&gt;0),Q23*(LN(O23/80+R23)-LN(R23)),"")</f>
        <v/>
      </c>
      <c r="T23">
        <f>IF(AND(Report!$F$6&lt;&gt;"",COUNT(Spectra!$E$5:$E$40)&gt;0),M23,"")</f>
        <v/>
      </c>
      <c r="U23">
        <f>IF(AND(Report!$F$6&lt;&gt;"",COUNT(Spectra!$E$5:$E$40)&gt;0),S23*COS(RADIANS(L23)),"")</f>
        <v/>
      </c>
      <c r="V23">
        <f>IF(AND(Report!$F$6&lt;&gt;"",COUNT(Spectra!$E$5:$E$40)&gt;0),S23*SIN(RADIANS(L23)),"")</f>
        <v/>
      </c>
      <c r="W23">
        <f>IF(AND(Report!$F$6&lt;&gt;"",COUNT(Spectra!$E$5:$E$40)&gt;0),IF(E23/INDEX(Matrices!$B$2:$B$17,C23)&gt;0.008856,(E23/INDEX(Matrices!$B$2:$B$17,C23))^(1/3),7.787*E23/INDEX(Matrices!$B$2:$B$17,C23)+16/116),"")</f>
        <v/>
      </c>
      <c r="X23">
        <f>IF(AND(Report!$F$6&lt;&gt;"",COUNT(Spectra!$E$5:$E$40)&gt;0),IF(F23/INDEX(Matrices!$C$2:$C$17,C23)&gt;0.008856,(F23/INDEX(Matrices!$C$2:$C$17,C23))^(1/3),7.787*F23/INDEX(Matrices!$C$2:$C$17,C23)+16/116),"")</f>
        <v/>
      </c>
      <c r="Y23">
        <f>IF(AND(Report!$F$6&lt;&gt;"",COUNT(Spectra!$E$5:$E$40)&gt;0),IF(G23/INDEX(Matrices!$D$2:$D$17,C23)&gt;0.008856,(G23/INDEX(Matrices!$D$2:$D$17,C23))^(1/3),7.787*G23/INDEX(Matrices!$D$2:$D$17,C23)+16/116),"")</f>
        <v/>
      </c>
      <c r="Z23">
        <f>IF(AND(Report!$F$6&lt;&gt;"",COUNT(Spectra!$E$5:$E$40)&gt;0),116*X23-16,"")</f>
        <v/>
      </c>
      <c r="AA23">
        <f>IF(AND(Report!$F$6&lt;&gt;"",COUNT(Spectra!$E$5:$E$40)&gt;0),500*(W23-X23),"")</f>
        <v/>
      </c>
      <c r="AB23">
        <f>IF(AND(Report!$F$6&lt;&gt;"",COUNT(Spectra!$E$5:$E$40)&gt;0),200*(X23-Y23),"")</f>
        <v/>
      </c>
    </row>
    <row r="24">
      <c r="A24" t="n">
        <v>4</v>
      </c>
      <c r="B24" t="n">
        <v>5</v>
      </c>
      <c r="C24">
        <f>IF(AND(Report!$G$6&lt;&gt;"",COUNT(Spectra!$E$5:$E$40)&gt;0),MATCH(Report!$G$6,Matrices!$A$2:$A$17,0),"")</f>
        <v/>
      </c>
      <c r="D24">
        <f>IF(AND(Report!$G$6&lt;&gt;"",COUNT(Spectra!$E$5:$E$40)&gt;0),MATCH(Report!$G$6,Weights!$B$3:$AW$3,0),"")</f>
        <v/>
      </c>
      <c r="E24">
        <f>IF(AND(Report!$G$6&lt;&gt;"",COUNT(Spectra!$E$5:$E$40)&gt;0),SUMPRODUCT(Spectra!$E$5:$E$40,INDEX(Weights!$B$5:$AW$40,0,D24+0))/Spectra!$N$5,"")</f>
        <v/>
      </c>
      <c r="F24">
        <f>IF(AND(Report!$G$6&lt;&gt;"",COUNT(Spectra!$E$5:$E$40)&gt;0),SUMPRODUCT(Spectra!$E$5:$E$40,INDEX(Weights!$B$5:$AW$40,0,D24+1))/Spectra!$N$5,"")</f>
        <v/>
      </c>
      <c r="G24">
        <f>IF(AND(Report!$G$6&lt;&gt;"",COUNT(Spectra!$E$5:$E$40)&gt;0),SUMPRODUCT(Spectra!$E$5:$E$40,INDEX(Weights!$B$5:$AW$40,0,D24+2))/Spectra!$N$5,"")</f>
        <v/>
      </c>
      <c r="H24">
        <f>IF(AND(Report!$G$6&lt;&gt;"",COUNT(Spectra!$E$5:$E$40)&gt;0),INDEX(Matrices!$E$2:$E$17,C24)*E24+INDEX(Matrices!$F$2:$F$17,C24)*F24+INDEX(Matrices!$G$2:$G$17,C24)*G24,"")</f>
        <v/>
      </c>
      <c r="I24">
        <f>IF(AND(Report!$G$6&lt;&gt;"",COUNT(Spectra!$E$5:$E$40)&gt;0),INDEX(Matrices!$H$2:$H$17,C24)*E24+INDEX(Matrices!$I$2:$I$17,C24)*F24+INDEX(Matrices!$J$2:$J$17,C24)*G24,"")</f>
        <v/>
      </c>
      <c r="J24">
        <f>IF(AND(Report!$G$6&lt;&gt;"",COUNT(Spectra!$E$5:$E$40)&gt;0),INDEX(Matrices!$K$2:$K$17,C24)*E24+INDEX(Matrices!$L$2:$L$17,C24)*F24+INDEX(Matrices!$M$2:$M$17,C24)*G24,"")</f>
        <v/>
      </c>
      <c r="K24">
        <f>IF(AND(Report!$G$6&lt;&gt;"",COUNT(Spectra!$E$5:$E$40)&gt;0),SQRT(I24^2+J24^2),"")</f>
        <v/>
      </c>
      <c r="L24">
        <f>IF(AND(Report!$G$6&lt;&gt;"",COUNT(Spectra!$E$5:$E$40)&gt;0),IF(K24=0,0,MOD(DEGREES(ATAN2(I24,J24)),360)),"")</f>
        <v/>
      </c>
      <c r="M24">
        <f>IF(AND(Report!$G$6&lt;&gt;"",COUNT(Spectra!$E$5:$E$40)&gt;0),IF(H24/100&gt;(6/29)^3,(H24/100)^(1/3),(1/3)*(29/6)^2*H24/100+16/116)*116-16,"")</f>
        <v/>
      </c>
      <c r="N24">
        <f>IF(AND(Report!$G$6&lt;&gt;"",COUNT(Spectra!$E$5:$E$40)&gt;0),EXP(0.026742553710937*(M24-51.576165618406904))/0.45888671875,"")</f>
        <v/>
      </c>
      <c r="O24">
        <f>IF(AND(Report!$G$6&lt;&gt;"",COUNT(Spectra!$E$5:$E$40)&gt;0),K24/N24,"")</f>
        <v/>
      </c>
      <c r="P24">
        <f>IF(AND(Report!$G$6&lt;&gt;"",COUNT(Spectra!$E$5:$E$40)&gt;0),IF(AND(L24&gt;1,L24&lt;181),SIN(RADIANS(L24-1))^3,0)+IF(AND(L24&gt;104,L24&lt;284),0.39*COS(RADIANS(L24-14))^2,0),"")</f>
        <v/>
      </c>
      <c r="Q24">
        <f>IF(AND(Report!$G$6&lt;&gt;"",COUNT(Spectra!$E$5:$E$40)&gt;0),62*(P24+0.31),"")</f>
        <v/>
      </c>
      <c r="R24">
        <f>IF(AND(Report!$G$6&lt;&gt;"",COUNT(Spectra!$E$5:$E$40)&gt;0),0.36*(P24+0.19),"")</f>
        <v/>
      </c>
      <c r="S24">
        <f>IF(AND(Report!$G$6&lt;&gt;"",COUNT(Spectra!$E$5:$E$40)&gt;0),Q24*(LN(O24/80+R24)-LN(R24)),"")</f>
        <v/>
      </c>
      <c r="T24">
        <f>IF(AND(Report!$G$6&lt;&gt;"",COUNT(Spectra!$E$5:$E$40)&gt;0),M24,"")</f>
        <v/>
      </c>
      <c r="U24">
        <f>IF(AND(Report!$G$6&lt;&gt;"",COUNT(Spectra!$E$5:$E$40)&gt;0),S24*COS(RADIANS(L24)),"")</f>
        <v/>
      </c>
      <c r="V24">
        <f>IF(AND(Report!$G$6&lt;&gt;"",COUNT(Spectra!$E$5:$E$40)&gt;0),S24*SIN(RADIANS(L24)),"")</f>
        <v/>
      </c>
      <c r="W24">
        <f>IF(AND(Report!$G$6&lt;&gt;"",COUNT(Spectra!$E$5:$E$40)&gt;0),IF(E24/INDEX(Matrices!$B$2:$B$17,C24)&gt;0.008856,(E24/INDEX(Matrices!$B$2:$B$17,C24))^(1/3),7.787*E24/INDEX(Matrices!$B$2:$B$17,C24)+16/116),"")</f>
        <v/>
      </c>
      <c r="X24">
        <f>IF(AND(Report!$G$6&lt;&gt;"",COUNT(Spectra!$E$5:$E$40)&gt;0),IF(F24/INDEX(Matrices!$C$2:$C$17,C24)&gt;0.008856,(F24/INDEX(Matrices!$C$2:$C$17,C24))^(1/3),7.787*F24/INDEX(Matrices!$C$2:$C$17,C24)+16/116),"")</f>
        <v/>
      </c>
      <c r="Y24">
        <f>IF(AND(Report!$G$6&lt;&gt;"",COUNT(Spectra!$E$5:$E$40)&gt;0),IF(G24/INDEX(Matrices!$D$2:$D$17,C24)&gt;0.008856,(G24/INDEX(Matrices!$D$2:$D$17,C24))^(1/3),7.787*G24/INDEX(Matrices!$D$2:$D$17,C24)+16/116),"")</f>
        <v/>
      </c>
      <c r="Z24">
        <f>IF(AND(Report!$G$6&lt;&gt;"",COUNT(Spectra!$E$5:$E$40)&gt;0),116*X24-16,"")</f>
        <v/>
      </c>
      <c r="AA24">
        <f>IF(AND(Report!$G$6&lt;&gt;"",COUNT(Spectra!$E$5:$E$40)&gt;0),500*(W24-X24),"")</f>
        <v/>
      </c>
      <c r="AB24">
        <f>IF(AND(Report!$G$6&lt;&gt;"",COUNT(Spectra!$E$5:$E$40)&gt;0),200*(X24-Y24),"")</f>
        <v/>
      </c>
    </row>
    <row r="25">
      <c r="A25" t="n">
        <v>4</v>
      </c>
      <c r="B25" t="n">
        <v>6</v>
      </c>
      <c r="C25">
        <f>IF(AND(Report!$H$6&lt;&gt;"",COUNT(Spectra!$E$5:$E$40)&gt;0),MATCH(Report!$H$6,Matrices!$A$2:$A$17,0),"")</f>
        <v/>
      </c>
      <c r="D25">
        <f>IF(AND(Report!$H$6&lt;&gt;"",COUNT(Spectra!$E$5:$E$40)&gt;0),MATCH(Report!$H$6,Weights!$B$3:$AW$3,0),"")</f>
        <v/>
      </c>
      <c r="E25">
        <f>IF(AND(Report!$H$6&lt;&gt;"",COUNT(Spectra!$E$5:$E$40)&gt;0),SUMPRODUCT(Spectra!$E$5:$E$40,INDEX(Weights!$B$5:$AW$40,0,D25+0))/Spectra!$N$5,"")</f>
        <v/>
      </c>
      <c r="F25">
        <f>IF(AND(Report!$H$6&lt;&gt;"",COUNT(Spectra!$E$5:$E$40)&gt;0),SUMPRODUCT(Spectra!$E$5:$E$40,INDEX(Weights!$B$5:$AW$40,0,D25+1))/Spectra!$N$5,"")</f>
        <v/>
      </c>
      <c r="G25">
        <f>IF(AND(Report!$H$6&lt;&gt;"",COUNT(Spectra!$E$5:$E$40)&gt;0),SUMPRODUCT(Spectra!$E$5:$E$40,INDEX(Weights!$B$5:$AW$40,0,D25+2))/Spectra!$N$5,"")</f>
        <v/>
      </c>
      <c r="H25">
        <f>IF(AND(Report!$H$6&lt;&gt;"",COUNT(Spectra!$E$5:$E$40)&gt;0),INDEX(Matrices!$E$2:$E$17,C25)*E25+INDEX(Matrices!$F$2:$F$17,C25)*F25+INDEX(Matrices!$G$2:$G$17,C25)*G25,"")</f>
        <v/>
      </c>
      <c r="I25">
        <f>IF(AND(Report!$H$6&lt;&gt;"",COUNT(Spectra!$E$5:$E$40)&gt;0),INDEX(Matrices!$H$2:$H$17,C25)*E25+INDEX(Matrices!$I$2:$I$17,C25)*F25+INDEX(Matrices!$J$2:$J$17,C25)*G25,"")</f>
        <v/>
      </c>
      <c r="J25">
        <f>IF(AND(Report!$H$6&lt;&gt;"",COUNT(Spectra!$E$5:$E$40)&gt;0),INDEX(Matrices!$K$2:$K$17,C25)*E25+INDEX(Matrices!$L$2:$L$17,C25)*F25+INDEX(Matrices!$M$2:$M$17,C25)*G25,"")</f>
        <v/>
      </c>
      <c r="K25">
        <f>IF(AND(Report!$H$6&lt;&gt;"",COUNT(Spectra!$E$5:$E$40)&gt;0),SQRT(I25^2+J25^2),"")</f>
        <v/>
      </c>
      <c r="L25">
        <f>IF(AND(Report!$H$6&lt;&gt;"",COUNT(Spectra!$E$5:$E$40)&gt;0),IF(K25=0,0,MOD(DEGREES(ATAN2(I25,J25)),360)),"")</f>
        <v/>
      </c>
      <c r="M25">
        <f>IF(AND(Report!$H$6&lt;&gt;"",COUNT(Spectra!$E$5:$E$40)&gt;0),IF(H25/100&gt;(6/29)^3,(H25/100)^(1/3),(1/3)*(29/6)^2*H25/100+16/116)*116-16,"")</f>
        <v/>
      </c>
      <c r="N25">
        <f>IF(AND(Report!$H$6&lt;&gt;"",COUNT(Spectra!$E$5:$E$40)&gt;0),EXP(0.026742553710937*(M25-51.576165618406904))/0.45888671875,"")</f>
        <v/>
      </c>
      <c r="O25">
        <f>IF(AND(Report!$H$6&lt;&gt;"",COUNT(Spectra!$E$5:$E$40)&gt;0),K25/N25,"")</f>
        <v/>
      </c>
      <c r="P25">
        <f>IF(AND(Report!$H$6&lt;&gt;"",COUNT(Spectra!$E$5:$E$40)&gt;0),IF(AND(L25&gt;1,L25&lt;181),SIN(RADIANS(L25-1))^3,0)+IF(AND(L25&gt;104,L25&lt;284),0.39*COS(RADIANS(L25-14))^2,0),"")</f>
        <v/>
      </c>
      <c r="Q25">
        <f>IF(AND(Report!$H$6&lt;&gt;"",COUNT(Spectra!$E$5:$E$40)&gt;0),62*(P25+0.31),"")</f>
        <v/>
      </c>
      <c r="R25">
        <f>IF(AND(Report!$H$6&lt;&gt;"",COUNT(Spectra!$E$5:$E$40)&gt;0),0.36*(P25+0.19),"")</f>
        <v/>
      </c>
      <c r="S25">
        <f>IF(AND(Report!$H$6&lt;&gt;"",COUNT(Spectra!$E$5:$E$40)&gt;0),Q25*(LN(O25/80+R25)-LN(R25)),"")</f>
        <v/>
      </c>
      <c r="T25">
        <f>IF(AND(Report!$H$6&lt;&gt;"",COUNT(Spectra!$E$5:$E$40)&gt;0),M25,"")</f>
        <v/>
      </c>
      <c r="U25">
        <f>IF(AND(Report!$H$6&lt;&gt;"",COUNT(Spectra!$E$5:$E$40)&gt;0),S25*COS(RADIANS(L25)),"")</f>
        <v/>
      </c>
      <c r="V25">
        <f>IF(AND(Report!$H$6&lt;&gt;"",COUNT(Spectra!$E$5:$E$40)&gt;0),S25*SIN(RADIANS(L25)),"")</f>
        <v/>
      </c>
      <c r="W25">
        <f>IF(AND(Report!$H$6&lt;&gt;"",COUNT(Spectra!$E$5:$E$40)&gt;0),IF(E25/INDEX(Matrices!$B$2:$B$17,C25)&gt;0.008856,(E25/INDEX(Matrices!$B$2:$B$17,C25))^(1/3),7.787*E25/INDEX(Matrices!$B$2:$B$17,C25)+16/116),"")</f>
        <v/>
      </c>
      <c r="X25">
        <f>IF(AND(Report!$H$6&lt;&gt;"",COUNT(Spectra!$E$5:$E$40)&gt;0),IF(F25/INDEX(Matrices!$C$2:$C$17,C25)&gt;0.008856,(F25/INDEX(Matrices!$C$2:$C$17,C25))^(1/3),7.787*F25/INDEX(Matrices!$C$2:$C$17,C25)+16/116),"")</f>
        <v/>
      </c>
      <c r="Y25">
        <f>IF(AND(Report!$H$6&lt;&gt;"",COUNT(Spectra!$E$5:$E$40)&gt;0),IF(G25/INDEX(Matrices!$D$2:$D$17,C25)&gt;0.008856,(G25/INDEX(Matrices!$D$2:$D$17,C25))^(1/3),7.787*G25/INDEX(Matrices!$D$2:$D$17,C25)+16/116),"")</f>
        <v/>
      </c>
      <c r="Z25">
        <f>IF(AND(Report!$H$6&lt;&gt;"",COUNT(Spectra!$E$5:$E$40)&gt;0),116*X25-16,"")</f>
        <v/>
      </c>
      <c r="AA25">
        <f>IF(AND(Report!$H$6&lt;&gt;"",COUNT(Spectra!$E$5:$E$40)&gt;0),500*(W25-X25),"")</f>
        <v/>
      </c>
      <c r="AB25">
        <f>IF(AND(Report!$H$6&lt;&gt;"",COUNT(Spectra!$E$5:$E$40)&gt;0),200*(X25-Y25),"")</f>
        <v/>
      </c>
    </row>
    <row r="26">
      <c r="A26" t="n">
        <v>5</v>
      </c>
      <c r="B26" t="n">
        <v>1</v>
      </c>
      <c r="C26">
        <f>IF(AND(Report!$C$6&lt;&gt;"",COUNT(Spectra!$F$5:$F$40)&gt;0),MATCH(Report!$C$6,Matrices!$A$2:$A$17,0),"")</f>
        <v/>
      </c>
      <c r="D26">
        <f>IF(AND(Report!$C$6&lt;&gt;"",COUNT(Spectra!$F$5:$F$40)&gt;0),MATCH(Report!$C$6,Weights!$B$3:$AW$3,0),"")</f>
        <v/>
      </c>
      <c r="E26">
        <f>IF(AND(Report!$C$6&lt;&gt;"",COUNT(Spectra!$F$5:$F$40)&gt;0),SUMPRODUCT(Spectra!$F$5:$F$40,INDEX(Weights!$B$5:$AW$40,0,D26+0))/Spectra!$N$5,"")</f>
        <v/>
      </c>
      <c r="F26">
        <f>IF(AND(Report!$C$6&lt;&gt;"",COUNT(Spectra!$F$5:$F$40)&gt;0),SUMPRODUCT(Spectra!$F$5:$F$40,INDEX(Weights!$B$5:$AW$40,0,D26+1))/Spectra!$N$5,"")</f>
        <v/>
      </c>
      <c r="G26">
        <f>IF(AND(Report!$C$6&lt;&gt;"",COUNT(Spectra!$F$5:$F$40)&gt;0),SUMPRODUCT(Spectra!$F$5:$F$40,INDEX(Weights!$B$5:$AW$40,0,D26+2))/Spectra!$N$5,"")</f>
        <v/>
      </c>
      <c r="H26">
        <f>IF(AND(Report!$C$6&lt;&gt;"",COUNT(Spectra!$F$5:$F$40)&gt;0),INDEX(Matrices!$E$2:$E$17,C26)*E26+INDEX(Matrices!$F$2:$F$17,C26)*F26+INDEX(Matrices!$G$2:$G$17,C26)*G26,"")</f>
        <v/>
      </c>
      <c r="I26">
        <f>IF(AND(Report!$C$6&lt;&gt;"",COUNT(Spectra!$F$5:$F$40)&gt;0),INDEX(Matrices!$H$2:$H$17,C26)*E26+INDEX(Matrices!$I$2:$I$17,C26)*F26+INDEX(Matrices!$J$2:$J$17,C26)*G26,"")</f>
        <v/>
      </c>
      <c r="J26">
        <f>IF(AND(Report!$C$6&lt;&gt;"",COUNT(Spectra!$F$5:$F$40)&gt;0),INDEX(Matrices!$K$2:$K$17,C26)*E26+INDEX(Matrices!$L$2:$L$17,C26)*F26+INDEX(Matrices!$M$2:$M$17,C26)*G26,"")</f>
        <v/>
      </c>
      <c r="K26">
        <f>IF(AND(Report!$C$6&lt;&gt;"",COUNT(Spectra!$F$5:$F$40)&gt;0),SQRT(I26^2+J26^2),"")</f>
        <v/>
      </c>
      <c r="L26">
        <f>IF(AND(Report!$C$6&lt;&gt;"",COUNT(Spectra!$F$5:$F$40)&gt;0),IF(K26=0,0,MOD(DEGREES(ATAN2(I26,J26)),360)),"")</f>
        <v/>
      </c>
      <c r="M26">
        <f>IF(AND(Report!$C$6&lt;&gt;"",COUNT(Spectra!$F$5:$F$40)&gt;0),IF(H26/100&gt;(6/29)^3,(H26/100)^(1/3),(1/3)*(29/6)^2*H26/100+16/116)*116-16,"")</f>
        <v/>
      </c>
      <c r="N26">
        <f>IF(AND(Report!$C$6&lt;&gt;"",COUNT(Spectra!$F$5:$F$40)&gt;0),EXP(0.026742553710937*(M26-51.576165618406904))/0.45888671875,"")</f>
        <v/>
      </c>
      <c r="O26">
        <f>IF(AND(Report!$C$6&lt;&gt;"",COUNT(Spectra!$F$5:$F$40)&gt;0),K26/N26,"")</f>
        <v/>
      </c>
      <c r="P26">
        <f>IF(AND(Report!$C$6&lt;&gt;"",COUNT(Spectra!$F$5:$F$40)&gt;0),IF(AND(L26&gt;1,L26&lt;181),SIN(RADIANS(L26-1))^3,0)+IF(AND(L26&gt;104,L26&lt;284),0.39*COS(RADIANS(L26-14))^2,0),"")</f>
        <v/>
      </c>
      <c r="Q26">
        <f>IF(AND(Report!$C$6&lt;&gt;"",COUNT(Spectra!$F$5:$F$40)&gt;0),62*(P26+0.31),"")</f>
        <v/>
      </c>
      <c r="R26">
        <f>IF(AND(Report!$C$6&lt;&gt;"",COUNT(Spectra!$F$5:$F$40)&gt;0),0.36*(P26+0.19),"")</f>
        <v/>
      </c>
      <c r="S26">
        <f>IF(AND(Report!$C$6&lt;&gt;"",COUNT(Spectra!$F$5:$F$40)&gt;0),Q26*(LN(O26/80+R26)-LN(R26)),"")</f>
        <v/>
      </c>
      <c r="T26">
        <f>IF(AND(Report!$C$6&lt;&gt;"",COUNT(Spectra!$F$5:$F$40)&gt;0),M26,"")</f>
        <v/>
      </c>
      <c r="U26">
        <f>IF(AND(Report!$C$6&lt;&gt;"",COUNT(Spectra!$F$5:$F$40)&gt;0),S26*COS(RADIANS(L26)),"")</f>
        <v/>
      </c>
      <c r="V26">
        <f>IF(AND(Report!$C$6&lt;&gt;"",COUNT(Spectra!$F$5:$F$40)&gt;0),S26*SIN(RADIANS(L26)),"")</f>
        <v/>
      </c>
      <c r="W26">
        <f>IF(AND(Report!$C$6&lt;&gt;"",COUNT(Spectra!$F$5:$F$40)&gt;0),IF(E26/INDEX(Matrices!$B$2:$B$17,C26)&gt;0.008856,(E26/INDEX(Matrices!$B$2:$B$17,C26))^(1/3),7.787*E26/INDEX(Matrices!$B$2:$B$17,C26)+16/116),"")</f>
        <v/>
      </c>
      <c r="X26">
        <f>IF(AND(Report!$C$6&lt;&gt;"",COUNT(Spectra!$F$5:$F$40)&gt;0),IF(F26/INDEX(Matrices!$C$2:$C$17,C26)&gt;0.008856,(F26/INDEX(Matrices!$C$2:$C$17,C26))^(1/3),7.787*F26/INDEX(Matrices!$C$2:$C$17,C26)+16/116),"")</f>
        <v/>
      </c>
      <c r="Y26">
        <f>IF(AND(Report!$C$6&lt;&gt;"",COUNT(Spectra!$F$5:$F$40)&gt;0),IF(G26/INDEX(Matrices!$D$2:$D$17,C26)&gt;0.008856,(G26/INDEX(Matrices!$D$2:$D$17,C26))^(1/3),7.787*G26/INDEX(Matrices!$D$2:$D$17,C26)+16/116),"")</f>
        <v/>
      </c>
      <c r="Z26">
        <f>IF(AND(Report!$C$6&lt;&gt;"",COUNT(Spectra!$F$5:$F$40)&gt;0),116*X26-16,"")</f>
        <v/>
      </c>
      <c r="AA26">
        <f>IF(AND(Report!$C$6&lt;&gt;"",COUNT(Spectra!$F$5:$F$40)&gt;0),500*(W26-X26),"")</f>
        <v/>
      </c>
      <c r="AB26">
        <f>IF(AND(Report!$C$6&lt;&gt;"",COUNT(Spectra!$F$5:$F$40)&gt;0),200*(X26-Y26),"")</f>
        <v/>
      </c>
    </row>
    <row r="27">
      <c r="A27" t="n">
        <v>5</v>
      </c>
      <c r="B27" t="n">
        <v>2</v>
      </c>
      <c r="C27">
        <f>IF(AND(Report!$D$6&lt;&gt;"",COUNT(Spectra!$F$5:$F$40)&gt;0),MATCH(Report!$D$6,Matrices!$A$2:$A$17,0),"")</f>
        <v/>
      </c>
      <c r="D27">
        <f>IF(AND(Report!$D$6&lt;&gt;"",COUNT(Spectra!$F$5:$F$40)&gt;0),MATCH(Report!$D$6,Weights!$B$3:$AW$3,0),"")</f>
        <v/>
      </c>
      <c r="E27">
        <f>IF(AND(Report!$D$6&lt;&gt;"",COUNT(Spectra!$F$5:$F$40)&gt;0),SUMPRODUCT(Spectra!$F$5:$F$40,INDEX(Weights!$B$5:$AW$40,0,D27+0))/Spectra!$N$5,"")</f>
        <v/>
      </c>
      <c r="F27">
        <f>IF(AND(Report!$D$6&lt;&gt;"",COUNT(Spectra!$F$5:$F$40)&gt;0),SUMPRODUCT(Spectra!$F$5:$F$40,INDEX(Weights!$B$5:$AW$40,0,D27+1))/Spectra!$N$5,"")</f>
        <v/>
      </c>
      <c r="G27">
        <f>IF(AND(Report!$D$6&lt;&gt;"",COUNT(Spectra!$F$5:$F$40)&gt;0),SUMPRODUCT(Spectra!$F$5:$F$40,INDEX(Weights!$B$5:$AW$40,0,D27+2))/Spectra!$N$5,"")</f>
        <v/>
      </c>
      <c r="H27">
        <f>IF(AND(Report!$D$6&lt;&gt;"",COUNT(Spectra!$F$5:$F$40)&gt;0),INDEX(Matrices!$E$2:$E$17,C27)*E27+INDEX(Matrices!$F$2:$F$17,C27)*F27+INDEX(Matrices!$G$2:$G$17,C27)*G27,"")</f>
        <v/>
      </c>
      <c r="I27">
        <f>IF(AND(Report!$D$6&lt;&gt;"",COUNT(Spectra!$F$5:$F$40)&gt;0),INDEX(Matrices!$H$2:$H$17,C27)*E27+INDEX(Matrices!$I$2:$I$17,C27)*F27+INDEX(Matrices!$J$2:$J$17,C27)*G27,"")</f>
        <v/>
      </c>
      <c r="J27">
        <f>IF(AND(Report!$D$6&lt;&gt;"",COUNT(Spectra!$F$5:$F$40)&gt;0),INDEX(Matrices!$K$2:$K$17,C27)*E27+INDEX(Matrices!$L$2:$L$17,C27)*F27+INDEX(Matrices!$M$2:$M$17,C27)*G27,"")</f>
        <v/>
      </c>
      <c r="K27">
        <f>IF(AND(Report!$D$6&lt;&gt;"",COUNT(Spectra!$F$5:$F$40)&gt;0),SQRT(I27^2+J27^2),"")</f>
        <v/>
      </c>
      <c r="L27">
        <f>IF(AND(Report!$D$6&lt;&gt;"",COUNT(Spectra!$F$5:$F$40)&gt;0),IF(K27=0,0,MOD(DEGREES(ATAN2(I27,J27)),360)),"")</f>
        <v/>
      </c>
      <c r="M27">
        <f>IF(AND(Report!$D$6&lt;&gt;"",COUNT(Spectra!$F$5:$F$40)&gt;0),IF(H27/100&gt;(6/29)^3,(H27/100)^(1/3),(1/3)*(29/6)^2*H27/100+16/116)*116-16,"")</f>
        <v/>
      </c>
      <c r="N27">
        <f>IF(AND(Report!$D$6&lt;&gt;"",COUNT(Spectra!$F$5:$F$40)&gt;0),EXP(0.026742553710937*(M27-51.576165618406904))/0.45888671875,"")</f>
        <v/>
      </c>
      <c r="O27">
        <f>IF(AND(Report!$D$6&lt;&gt;"",COUNT(Spectra!$F$5:$F$40)&gt;0),K27/N27,"")</f>
        <v/>
      </c>
      <c r="P27">
        <f>IF(AND(Report!$D$6&lt;&gt;"",COUNT(Spectra!$F$5:$F$40)&gt;0),IF(AND(L27&gt;1,L27&lt;181),SIN(RADIANS(L27-1))^3,0)+IF(AND(L27&gt;104,L27&lt;284),0.39*COS(RADIANS(L27-14))^2,0),"")</f>
        <v/>
      </c>
      <c r="Q27">
        <f>IF(AND(Report!$D$6&lt;&gt;"",COUNT(Spectra!$F$5:$F$40)&gt;0),62*(P27+0.31),"")</f>
        <v/>
      </c>
      <c r="R27">
        <f>IF(AND(Report!$D$6&lt;&gt;"",COUNT(Spectra!$F$5:$F$40)&gt;0),0.36*(P27+0.19),"")</f>
        <v/>
      </c>
      <c r="S27">
        <f>IF(AND(Report!$D$6&lt;&gt;"",COUNT(Spectra!$F$5:$F$40)&gt;0),Q27*(LN(O27/80+R27)-LN(R27)),"")</f>
        <v/>
      </c>
      <c r="T27">
        <f>IF(AND(Report!$D$6&lt;&gt;"",COUNT(Spectra!$F$5:$F$40)&gt;0),M27,"")</f>
        <v/>
      </c>
      <c r="U27">
        <f>IF(AND(Report!$D$6&lt;&gt;"",COUNT(Spectra!$F$5:$F$40)&gt;0),S27*COS(RADIANS(L27)),"")</f>
        <v/>
      </c>
      <c r="V27">
        <f>IF(AND(Report!$D$6&lt;&gt;"",COUNT(Spectra!$F$5:$F$40)&gt;0),S27*SIN(RADIANS(L27)),"")</f>
        <v/>
      </c>
      <c r="W27">
        <f>IF(AND(Report!$D$6&lt;&gt;"",COUNT(Spectra!$F$5:$F$40)&gt;0),IF(E27/INDEX(Matrices!$B$2:$B$17,C27)&gt;0.008856,(E27/INDEX(Matrices!$B$2:$B$17,C27))^(1/3),7.787*E27/INDEX(Matrices!$B$2:$B$17,C27)+16/116),"")</f>
        <v/>
      </c>
      <c r="X27">
        <f>IF(AND(Report!$D$6&lt;&gt;"",COUNT(Spectra!$F$5:$F$40)&gt;0),IF(F27/INDEX(Matrices!$C$2:$C$17,C27)&gt;0.008856,(F27/INDEX(Matrices!$C$2:$C$17,C27))^(1/3),7.787*F27/INDEX(Matrices!$C$2:$C$17,C27)+16/116),"")</f>
        <v/>
      </c>
      <c r="Y27">
        <f>IF(AND(Report!$D$6&lt;&gt;"",COUNT(Spectra!$F$5:$F$40)&gt;0),IF(G27/INDEX(Matrices!$D$2:$D$17,C27)&gt;0.008856,(G27/INDEX(Matrices!$D$2:$D$17,C27))^(1/3),7.787*G27/INDEX(Matrices!$D$2:$D$17,C27)+16/116),"")</f>
        <v/>
      </c>
      <c r="Z27">
        <f>IF(AND(Report!$D$6&lt;&gt;"",COUNT(Spectra!$F$5:$F$40)&gt;0),116*X27-16,"")</f>
        <v/>
      </c>
      <c r="AA27">
        <f>IF(AND(Report!$D$6&lt;&gt;"",COUNT(Spectra!$F$5:$F$40)&gt;0),500*(W27-X27),"")</f>
        <v/>
      </c>
      <c r="AB27">
        <f>IF(AND(Report!$D$6&lt;&gt;"",COUNT(Spectra!$F$5:$F$40)&gt;0),200*(X27-Y27),"")</f>
        <v/>
      </c>
    </row>
    <row r="28">
      <c r="A28" t="n">
        <v>5</v>
      </c>
      <c r="B28" t="n">
        <v>3</v>
      </c>
      <c r="C28">
        <f>IF(AND(Report!$E$6&lt;&gt;"",COUNT(Spectra!$F$5:$F$40)&gt;0),MATCH(Report!$E$6,Matrices!$A$2:$A$17,0),"")</f>
        <v/>
      </c>
      <c r="D28">
        <f>IF(AND(Report!$E$6&lt;&gt;"",COUNT(Spectra!$F$5:$F$40)&gt;0),MATCH(Report!$E$6,Weights!$B$3:$AW$3,0),"")</f>
        <v/>
      </c>
      <c r="E28">
        <f>IF(AND(Report!$E$6&lt;&gt;"",COUNT(Spectra!$F$5:$F$40)&gt;0),SUMPRODUCT(Spectra!$F$5:$F$40,INDEX(Weights!$B$5:$AW$40,0,D28+0))/Spectra!$N$5,"")</f>
        <v/>
      </c>
      <c r="F28">
        <f>IF(AND(Report!$E$6&lt;&gt;"",COUNT(Spectra!$F$5:$F$40)&gt;0),SUMPRODUCT(Spectra!$F$5:$F$40,INDEX(Weights!$B$5:$AW$40,0,D28+1))/Spectra!$N$5,"")</f>
        <v/>
      </c>
      <c r="G28">
        <f>IF(AND(Report!$E$6&lt;&gt;"",COUNT(Spectra!$F$5:$F$40)&gt;0),SUMPRODUCT(Spectra!$F$5:$F$40,INDEX(Weights!$B$5:$AW$40,0,D28+2))/Spectra!$N$5,"")</f>
        <v/>
      </c>
      <c r="H28">
        <f>IF(AND(Report!$E$6&lt;&gt;"",COUNT(Spectra!$F$5:$F$40)&gt;0),INDEX(Matrices!$E$2:$E$17,C28)*E28+INDEX(Matrices!$F$2:$F$17,C28)*F28+INDEX(Matrices!$G$2:$G$17,C28)*G28,"")</f>
        <v/>
      </c>
      <c r="I28">
        <f>IF(AND(Report!$E$6&lt;&gt;"",COUNT(Spectra!$F$5:$F$40)&gt;0),INDEX(Matrices!$H$2:$H$17,C28)*E28+INDEX(Matrices!$I$2:$I$17,C28)*F28+INDEX(Matrices!$J$2:$J$17,C28)*G28,"")</f>
        <v/>
      </c>
      <c r="J28">
        <f>IF(AND(Report!$E$6&lt;&gt;"",COUNT(Spectra!$F$5:$F$40)&gt;0),INDEX(Matrices!$K$2:$K$17,C28)*E28+INDEX(Matrices!$L$2:$L$17,C28)*F28+INDEX(Matrices!$M$2:$M$17,C28)*G28,"")</f>
        <v/>
      </c>
      <c r="K28">
        <f>IF(AND(Report!$E$6&lt;&gt;"",COUNT(Spectra!$F$5:$F$40)&gt;0),SQRT(I28^2+J28^2),"")</f>
        <v/>
      </c>
      <c r="L28">
        <f>IF(AND(Report!$E$6&lt;&gt;"",COUNT(Spectra!$F$5:$F$40)&gt;0),IF(K28=0,0,MOD(DEGREES(ATAN2(I28,J28)),360)),"")</f>
        <v/>
      </c>
      <c r="M28">
        <f>IF(AND(Report!$E$6&lt;&gt;"",COUNT(Spectra!$F$5:$F$40)&gt;0),IF(H28/100&gt;(6/29)^3,(H28/100)^(1/3),(1/3)*(29/6)^2*H28/100+16/116)*116-16,"")</f>
        <v/>
      </c>
      <c r="N28">
        <f>IF(AND(Report!$E$6&lt;&gt;"",COUNT(Spectra!$F$5:$F$40)&gt;0),EXP(0.026742553710937*(M28-51.576165618406904))/0.45888671875,"")</f>
        <v/>
      </c>
      <c r="O28">
        <f>IF(AND(Report!$E$6&lt;&gt;"",COUNT(Spectra!$F$5:$F$40)&gt;0),K28/N28,"")</f>
        <v/>
      </c>
      <c r="P28">
        <f>IF(AND(Report!$E$6&lt;&gt;"",COUNT(Spectra!$F$5:$F$40)&gt;0),IF(AND(L28&gt;1,L28&lt;181),SIN(RADIANS(L28-1))^3,0)+IF(AND(L28&gt;104,L28&lt;284),0.39*COS(RADIANS(L28-14))^2,0),"")</f>
        <v/>
      </c>
      <c r="Q28">
        <f>IF(AND(Report!$E$6&lt;&gt;"",COUNT(Spectra!$F$5:$F$40)&gt;0),62*(P28+0.31),"")</f>
        <v/>
      </c>
      <c r="R28">
        <f>IF(AND(Report!$E$6&lt;&gt;"",COUNT(Spectra!$F$5:$F$40)&gt;0),0.36*(P28+0.19),"")</f>
        <v/>
      </c>
      <c r="S28">
        <f>IF(AND(Report!$E$6&lt;&gt;"",COUNT(Spectra!$F$5:$F$40)&gt;0),Q28*(LN(O28/80+R28)-LN(R28)),"")</f>
        <v/>
      </c>
      <c r="T28">
        <f>IF(AND(Report!$E$6&lt;&gt;"",COUNT(Spectra!$F$5:$F$40)&gt;0),M28,"")</f>
        <v/>
      </c>
      <c r="U28">
        <f>IF(AND(Report!$E$6&lt;&gt;"",COUNT(Spectra!$F$5:$F$40)&gt;0),S28*COS(RADIANS(L28)),"")</f>
        <v/>
      </c>
      <c r="V28">
        <f>IF(AND(Report!$E$6&lt;&gt;"",COUNT(Spectra!$F$5:$F$40)&gt;0),S28*SIN(RADIANS(L28)),"")</f>
        <v/>
      </c>
      <c r="W28">
        <f>IF(AND(Report!$E$6&lt;&gt;"",COUNT(Spectra!$F$5:$F$40)&gt;0),IF(E28/INDEX(Matrices!$B$2:$B$17,C28)&gt;0.008856,(E28/INDEX(Matrices!$B$2:$B$17,C28))^(1/3),7.787*E28/INDEX(Matrices!$B$2:$B$17,C28)+16/116),"")</f>
        <v/>
      </c>
      <c r="X28">
        <f>IF(AND(Report!$E$6&lt;&gt;"",COUNT(Spectra!$F$5:$F$40)&gt;0),IF(F28/INDEX(Matrices!$C$2:$C$17,C28)&gt;0.008856,(F28/INDEX(Matrices!$C$2:$C$17,C28))^(1/3),7.787*F28/INDEX(Matrices!$C$2:$C$17,C28)+16/116),"")</f>
        <v/>
      </c>
      <c r="Y28">
        <f>IF(AND(Report!$E$6&lt;&gt;"",COUNT(Spectra!$F$5:$F$40)&gt;0),IF(G28/INDEX(Matrices!$D$2:$D$17,C28)&gt;0.008856,(G28/INDEX(Matrices!$D$2:$D$17,C28))^(1/3),7.787*G28/INDEX(Matrices!$D$2:$D$17,C28)+16/116),"")</f>
        <v/>
      </c>
      <c r="Z28">
        <f>IF(AND(Report!$E$6&lt;&gt;"",COUNT(Spectra!$F$5:$F$40)&gt;0),116*X28-16,"")</f>
        <v/>
      </c>
      <c r="AA28">
        <f>IF(AND(Report!$E$6&lt;&gt;"",COUNT(Spectra!$F$5:$F$40)&gt;0),500*(W28-X28),"")</f>
        <v/>
      </c>
      <c r="AB28">
        <f>IF(AND(Report!$E$6&lt;&gt;"",COUNT(Spectra!$F$5:$F$40)&gt;0),200*(X28-Y28),"")</f>
        <v/>
      </c>
    </row>
    <row r="29">
      <c r="A29" t="n">
        <v>5</v>
      </c>
      <c r="B29" t="n">
        <v>4</v>
      </c>
      <c r="C29">
        <f>IF(AND(Report!$F$6&lt;&gt;"",COUNT(Spectra!$F$5:$F$40)&gt;0),MATCH(Report!$F$6,Matrices!$A$2:$A$17,0),"")</f>
        <v/>
      </c>
      <c r="D29">
        <f>IF(AND(Report!$F$6&lt;&gt;"",COUNT(Spectra!$F$5:$F$40)&gt;0),MATCH(Report!$F$6,Weights!$B$3:$AW$3,0),"")</f>
        <v/>
      </c>
      <c r="E29">
        <f>IF(AND(Report!$F$6&lt;&gt;"",COUNT(Spectra!$F$5:$F$40)&gt;0),SUMPRODUCT(Spectra!$F$5:$F$40,INDEX(Weights!$B$5:$AW$40,0,D29+0))/Spectra!$N$5,"")</f>
        <v/>
      </c>
      <c r="F29">
        <f>IF(AND(Report!$F$6&lt;&gt;"",COUNT(Spectra!$F$5:$F$40)&gt;0),SUMPRODUCT(Spectra!$F$5:$F$40,INDEX(Weights!$B$5:$AW$40,0,D29+1))/Spectra!$N$5,"")</f>
        <v/>
      </c>
      <c r="G29">
        <f>IF(AND(Report!$F$6&lt;&gt;"",COUNT(Spectra!$F$5:$F$40)&gt;0),SUMPRODUCT(Spectra!$F$5:$F$40,INDEX(Weights!$B$5:$AW$40,0,D29+2))/Spectra!$N$5,"")</f>
        <v/>
      </c>
      <c r="H29">
        <f>IF(AND(Report!$F$6&lt;&gt;"",COUNT(Spectra!$F$5:$F$40)&gt;0),INDEX(Matrices!$E$2:$E$17,C29)*E29+INDEX(Matrices!$F$2:$F$17,C29)*F29+INDEX(Matrices!$G$2:$G$17,C29)*G29,"")</f>
        <v/>
      </c>
      <c r="I29">
        <f>IF(AND(Report!$F$6&lt;&gt;"",COUNT(Spectra!$F$5:$F$40)&gt;0),INDEX(Matrices!$H$2:$H$17,C29)*E29+INDEX(Matrices!$I$2:$I$17,C29)*F29+INDEX(Matrices!$J$2:$J$17,C29)*G29,"")</f>
        <v/>
      </c>
      <c r="J29">
        <f>IF(AND(Report!$F$6&lt;&gt;"",COUNT(Spectra!$F$5:$F$40)&gt;0),INDEX(Matrices!$K$2:$K$17,C29)*E29+INDEX(Matrices!$L$2:$L$17,C29)*F29+INDEX(Matrices!$M$2:$M$17,C29)*G29,"")</f>
        <v/>
      </c>
      <c r="K29">
        <f>IF(AND(Report!$F$6&lt;&gt;"",COUNT(Spectra!$F$5:$F$40)&gt;0),SQRT(I29^2+J29^2),"")</f>
        <v/>
      </c>
      <c r="L29">
        <f>IF(AND(Report!$F$6&lt;&gt;"",COUNT(Spectra!$F$5:$F$40)&gt;0),IF(K29=0,0,MOD(DEGREES(ATAN2(I29,J29)),360)),"")</f>
        <v/>
      </c>
      <c r="M29">
        <f>IF(AND(Report!$F$6&lt;&gt;"",COUNT(Spectra!$F$5:$F$40)&gt;0),IF(H29/100&gt;(6/29)^3,(H29/100)^(1/3),(1/3)*(29/6)^2*H29/100+16/116)*116-16,"")</f>
        <v/>
      </c>
      <c r="N29">
        <f>IF(AND(Report!$F$6&lt;&gt;"",COUNT(Spectra!$F$5:$F$40)&gt;0),EXP(0.026742553710937*(M29-51.576165618406904))/0.45888671875,"")</f>
        <v/>
      </c>
      <c r="O29">
        <f>IF(AND(Report!$F$6&lt;&gt;"",COUNT(Spectra!$F$5:$F$40)&gt;0),K29/N29,"")</f>
        <v/>
      </c>
      <c r="P29">
        <f>IF(AND(Report!$F$6&lt;&gt;"",COUNT(Spectra!$F$5:$F$40)&gt;0),IF(AND(L29&gt;1,L29&lt;181),SIN(RADIANS(L29-1))^3,0)+IF(AND(L29&gt;104,L29&lt;284),0.39*COS(RADIANS(L29-14))^2,0),"")</f>
        <v/>
      </c>
      <c r="Q29">
        <f>IF(AND(Report!$F$6&lt;&gt;"",COUNT(Spectra!$F$5:$F$40)&gt;0),62*(P29+0.31),"")</f>
        <v/>
      </c>
      <c r="R29">
        <f>IF(AND(Report!$F$6&lt;&gt;"",COUNT(Spectra!$F$5:$F$40)&gt;0),0.36*(P29+0.19),"")</f>
        <v/>
      </c>
      <c r="S29">
        <f>IF(AND(Report!$F$6&lt;&gt;"",COUNT(Spectra!$F$5:$F$40)&gt;0),Q29*(LN(O29/80+R29)-LN(R29)),"")</f>
        <v/>
      </c>
      <c r="T29">
        <f>IF(AND(Report!$F$6&lt;&gt;"",COUNT(Spectra!$F$5:$F$40)&gt;0),M29,"")</f>
        <v/>
      </c>
      <c r="U29">
        <f>IF(AND(Report!$F$6&lt;&gt;"",COUNT(Spectra!$F$5:$F$40)&gt;0),S29*COS(RADIANS(L29)),"")</f>
        <v/>
      </c>
      <c r="V29">
        <f>IF(AND(Report!$F$6&lt;&gt;"",COUNT(Spectra!$F$5:$F$40)&gt;0),S29*SIN(RADIANS(L29)),"")</f>
        <v/>
      </c>
      <c r="W29">
        <f>IF(AND(Report!$F$6&lt;&gt;"",COUNT(Spectra!$F$5:$F$40)&gt;0),IF(E29/INDEX(Matrices!$B$2:$B$17,C29)&gt;0.008856,(E29/INDEX(Matrices!$B$2:$B$17,C29))^(1/3),7.787*E29/INDEX(Matrices!$B$2:$B$17,C29)+16/116),"")</f>
        <v/>
      </c>
      <c r="X29">
        <f>IF(AND(Report!$F$6&lt;&gt;"",COUNT(Spectra!$F$5:$F$40)&gt;0),IF(F29/INDEX(Matrices!$C$2:$C$17,C29)&gt;0.008856,(F29/INDEX(Matrices!$C$2:$C$17,C29))^(1/3),7.787*F29/INDEX(Matrices!$C$2:$C$17,C29)+16/116),"")</f>
        <v/>
      </c>
      <c r="Y29">
        <f>IF(AND(Report!$F$6&lt;&gt;"",COUNT(Spectra!$F$5:$F$40)&gt;0),IF(G29/INDEX(Matrices!$D$2:$D$17,C29)&gt;0.008856,(G29/INDEX(Matrices!$D$2:$D$17,C29))^(1/3),7.787*G29/INDEX(Matrices!$D$2:$D$17,C29)+16/116),"")</f>
        <v/>
      </c>
      <c r="Z29">
        <f>IF(AND(Report!$F$6&lt;&gt;"",COUNT(Spectra!$F$5:$F$40)&gt;0),116*X29-16,"")</f>
        <v/>
      </c>
      <c r="AA29">
        <f>IF(AND(Report!$F$6&lt;&gt;"",COUNT(Spectra!$F$5:$F$40)&gt;0),500*(W29-X29),"")</f>
        <v/>
      </c>
      <c r="AB29">
        <f>IF(AND(Report!$F$6&lt;&gt;"",COUNT(Spectra!$F$5:$F$40)&gt;0),200*(X29-Y29),"")</f>
        <v/>
      </c>
    </row>
    <row r="30">
      <c r="A30" t="n">
        <v>5</v>
      </c>
      <c r="B30" t="n">
        <v>5</v>
      </c>
      <c r="C30">
        <f>IF(AND(Report!$G$6&lt;&gt;"",COUNT(Spectra!$F$5:$F$40)&gt;0),MATCH(Report!$G$6,Matrices!$A$2:$A$17,0),"")</f>
        <v/>
      </c>
      <c r="D30">
        <f>IF(AND(Report!$G$6&lt;&gt;"",COUNT(Spectra!$F$5:$F$40)&gt;0),MATCH(Report!$G$6,Weights!$B$3:$AW$3,0),"")</f>
        <v/>
      </c>
      <c r="E30">
        <f>IF(AND(Report!$G$6&lt;&gt;"",COUNT(Spectra!$F$5:$F$40)&gt;0),SUMPRODUCT(Spectra!$F$5:$F$40,INDEX(Weights!$B$5:$AW$40,0,D30+0))/Spectra!$N$5,"")</f>
        <v/>
      </c>
      <c r="F30">
        <f>IF(AND(Report!$G$6&lt;&gt;"",COUNT(Spectra!$F$5:$F$40)&gt;0),SUMPRODUCT(Spectra!$F$5:$F$40,INDEX(Weights!$B$5:$AW$40,0,D30+1))/Spectra!$N$5,"")</f>
        <v/>
      </c>
      <c r="G30">
        <f>IF(AND(Report!$G$6&lt;&gt;"",COUNT(Spectra!$F$5:$F$40)&gt;0),SUMPRODUCT(Spectra!$F$5:$F$40,INDEX(Weights!$B$5:$AW$40,0,D30+2))/Spectra!$N$5,"")</f>
        <v/>
      </c>
      <c r="H30">
        <f>IF(AND(Report!$G$6&lt;&gt;"",COUNT(Spectra!$F$5:$F$40)&gt;0),INDEX(Matrices!$E$2:$E$17,C30)*E30+INDEX(Matrices!$F$2:$F$17,C30)*F30+INDEX(Matrices!$G$2:$G$17,C30)*G30,"")</f>
        <v/>
      </c>
      <c r="I30">
        <f>IF(AND(Report!$G$6&lt;&gt;"",COUNT(Spectra!$F$5:$F$40)&gt;0),INDEX(Matrices!$H$2:$H$17,C30)*E30+INDEX(Matrices!$I$2:$I$17,C30)*F30+INDEX(Matrices!$J$2:$J$17,C30)*G30,"")</f>
        <v/>
      </c>
      <c r="J30">
        <f>IF(AND(Report!$G$6&lt;&gt;"",COUNT(Spectra!$F$5:$F$40)&gt;0),INDEX(Matrices!$K$2:$K$17,C30)*E30+INDEX(Matrices!$L$2:$L$17,C30)*F30+INDEX(Matrices!$M$2:$M$17,C30)*G30,"")</f>
        <v/>
      </c>
      <c r="K30">
        <f>IF(AND(Report!$G$6&lt;&gt;"",COUNT(Spectra!$F$5:$F$40)&gt;0),SQRT(I30^2+J30^2),"")</f>
        <v/>
      </c>
      <c r="L30">
        <f>IF(AND(Report!$G$6&lt;&gt;"",COUNT(Spectra!$F$5:$F$40)&gt;0),IF(K30=0,0,MOD(DEGREES(ATAN2(I30,J30)),360)),"")</f>
        <v/>
      </c>
      <c r="M30">
        <f>IF(AND(Report!$G$6&lt;&gt;"",COUNT(Spectra!$F$5:$F$40)&gt;0),IF(H30/100&gt;(6/29)^3,(H30/100)^(1/3),(1/3)*(29/6)^2*H30/100+16/116)*116-16,"")</f>
        <v/>
      </c>
      <c r="N30">
        <f>IF(AND(Report!$G$6&lt;&gt;"",COUNT(Spectra!$F$5:$F$40)&gt;0),EXP(0.026742553710937*(M30-51.576165618406904))/0.45888671875,"")</f>
        <v/>
      </c>
      <c r="O30">
        <f>IF(AND(Report!$G$6&lt;&gt;"",COUNT(Spectra!$F$5:$F$40)&gt;0),K30/N30,"")</f>
        <v/>
      </c>
      <c r="P30">
        <f>IF(AND(Report!$G$6&lt;&gt;"",COUNT(Spectra!$F$5:$F$40)&gt;0),IF(AND(L30&gt;1,L30&lt;181),SIN(RADIANS(L30-1))^3,0)+IF(AND(L30&gt;104,L30&lt;284),0.39*COS(RADIANS(L30-14))^2,0),"")</f>
        <v/>
      </c>
      <c r="Q30">
        <f>IF(AND(Report!$G$6&lt;&gt;"",COUNT(Spectra!$F$5:$F$40)&gt;0),62*(P30+0.31),"")</f>
        <v/>
      </c>
      <c r="R30">
        <f>IF(AND(Report!$G$6&lt;&gt;"",COUNT(Spectra!$F$5:$F$40)&gt;0),0.36*(P30+0.19),"")</f>
        <v/>
      </c>
      <c r="S30">
        <f>IF(AND(Report!$G$6&lt;&gt;"",COUNT(Spectra!$F$5:$F$40)&gt;0),Q30*(LN(O30/80+R30)-LN(R30)),"")</f>
        <v/>
      </c>
      <c r="T30">
        <f>IF(AND(Report!$G$6&lt;&gt;"",COUNT(Spectra!$F$5:$F$40)&gt;0),M30,"")</f>
        <v/>
      </c>
      <c r="U30">
        <f>IF(AND(Report!$G$6&lt;&gt;"",COUNT(Spectra!$F$5:$F$40)&gt;0),S30*COS(RADIANS(L30)),"")</f>
        <v/>
      </c>
      <c r="V30">
        <f>IF(AND(Report!$G$6&lt;&gt;"",COUNT(Spectra!$F$5:$F$40)&gt;0),S30*SIN(RADIANS(L30)),"")</f>
        <v/>
      </c>
      <c r="W30">
        <f>IF(AND(Report!$G$6&lt;&gt;"",COUNT(Spectra!$F$5:$F$40)&gt;0),IF(E30/INDEX(Matrices!$B$2:$B$17,C30)&gt;0.008856,(E30/INDEX(Matrices!$B$2:$B$17,C30))^(1/3),7.787*E30/INDEX(Matrices!$B$2:$B$17,C30)+16/116),"")</f>
        <v/>
      </c>
      <c r="X30">
        <f>IF(AND(Report!$G$6&lt;&gt;"",COUNT(Spectra!$F$5:$F$40)&gt;0),IF(F30/INDEX(Matrices!$C$2:$C$17,C30)&gt;0.008856,(F30/INDEX(Matrices!$C$2:$C$17,C30))^(1/3),7.787*F30/INDEX(Matrices!$C$2:$C$17,C30)+16/116),"")</f>
        <v/>
      </c>
      <c r="Y30">
        <f>IF(AND(Report!$G$6&lt;&gt;"",COUNT(Spectra!$F$5:$F$40)&gt;0),IF(G30/INDEX(Matrices!$D$2:$D$17,C30)&gt;0.008856,(G30/INDEX(Matrices!$D$2:$D$17,C30))^(1/3),7.787*G30/INDEX(Matrices!$D$2:$D$17,C30)+16/116),"")</f>
        <v/>
      </c>
      <c r="Z30">
        <f>IF(AND(Report!$G$6&lt;&gt;"",COUNT(Spectra!$F$5:$F$40)&gt;0),116*X30-16,"")</f>
        <v/>
      </c>
      <c r="AA30">
        <f>IF(AND(Report!$G$6&lt;&gt;"",COUNT(Spectra!$F$5:$F$40)&gt;0),500*(W30-X30),"")</f>
        <v/>
      </c>
      <c r="AB30">
        <f>IF(AND(Report!$G$6&lt;&gt;"",COUNT(Spectra!$F$5:$F$40)&gt;0),200*(X30-Y30),"")</f>
        <v/>
      </c>
    </row>
    <row r="31">
      <c r="A31" t="n">
        <v>5</v>
      </c>
      <c r="B31" t="n">
        <v>6</v>
      </c>
      <c r="C31">
        <f>IF(AND(Report!$H$6&lt;&gt;"",COUNT(Spectra!$F$5:$F$40)&gt;0),MATCH(Report!$H$6,Matrices!$A$2:$A$17,0),"")</f>
        <v/>
      </c>
      <c r="D31">
        <f>IF(AND(Report!$H$6&lt;&gt;"",COUNT(Spectra!$F$5:$F$40)&gt;0),MATCH(Report!$H$6,Weights!$B$3:$AW$3,0),"")</f>
        <v/>
      </c>
      <c r="E31">
        <f>IF(AND(Report!$H$6&lt;&gt;"",COUNT(Spectra!$F$5:$F$40)&gt;0),SUMPRODUCT(Spectra!$F$5:$F$40,INDEX(Weights!$B$5:$AW$40,0,D31+0))/Spectra!$N$5,"")</f>
        <v/>
      </c>
      <c r="F31">
        <f>IF(AND(Report!$H$6&lt;&gt;"",COUNT(Spectra!$F$5:$F$40)&gt;0),SUMPRODUCT(Spectra!$F$5:$F$40,INDEX(Weights!$B$5:$AW$40,0,D31+1))/Spectra!$N$5,"")</f>
        <v/>
      </c>
      <c r="G31">
        <f>IF(AND(Report!$H$6&lt;&gt;"",COUNT(Spectra!$F$5:$F$40)&gt;0),SUMPRODUCT(Spectra!$F$5:$F$40,INDEX(Weights!$B$5:$AW$40,0,D31+2))/Spectra!$N$5,"")</f>
        <v/>
      </c>
      <c r="H31">
        <f>IF(AND(Report!$H$6&lt;&gt;"",COUNT(Spectra!$F$5:$F$40)&gt;0),INDEX(Matrices!$E$2:$E$17,C31)*E31+INDEX(Matrices!$F$2:$F$17,C31)*F31+INDEX(Matrices!$G$2:$G$17,C31)*G31,"")</f>
        <v/>
      </c>
      <c r="I31">
        <f>IF(AND(Report!$H$6&lt;&gt;"",COUNT(Spectra!$F$5:$F$40)&gt;0),INDEX(Matrices!$H$2:$H$17,C31)*E31+INDEX(Matrices!$I$2:$I$17,C31)*F31+INDEX(Matrices!$J$2:$J$17,C31)*G31,"")</f>
        <v/>
      </c>
      <c r="J31">
        <f>IF(AND(Report!$H$6&lt;&gt;"",COUNT(Spectra!$F$5:$F$40)&gt;0),INDEX(Matrices!$K$2:$K$17,C31)*E31+INDEX(Matrices!$L$2:$L$17,C31)*F31+INDEX(Matrices!$M$2:$M$17,C31)*G31,"")</f>
        <v/>
      </c>
      <c r="K31">
        <f>IF(AND(Report!$H$6&lt;&gt;"",COUNT(Spectra!$F$5:$F$40)&gt;0),SQRT(I31^2+J31^2),"")</f>
        <v/>
      </c>
      <c r="L31">
        <f>IF(AND(Report!$H$6&lt;&gt;"",COUNT(Spectra!$F$5:$F$40)&gt;0),IF(K31=0,0,MOD(DEGREES(ATAN2(I31,J31)),360)),"")</f>
        <v/>
      </c>
      <c r="M31">
        <f>IF(AND(Report!$H$6&lt;&gt;"",COUNT(Spectra!$F$5:$F$40)&gt;0),IF(H31/100&gt;(6/29)^3,(H31/100)^(1/3),(1/3)*(29/6)^2*H31/100+16/116)*116-16,"")</f>
        <v/>
      </c>
      <c r="N31">
        <f>IF(AND(Report!$H$6&lt;&gt;"",COUNT(Spectra!$F$5:$F$40)&gt;0),EXP(0.026742553710937*(M31-51.576165618406904))/0.45888671875,"")</f>
        <v/>
      </c>
      <c r="O31">
        <f>IF(AND(Report!$H$6&lt;&gt;"",COUNT(Spectra!$F$5:$F$40)&gt;0),K31/N31,"")</f>
        <v/>
      </c>
      <c r="P31">
        <f>IF(AND(Report!$H$6&lt;&gt;"",COUNT(Spectra!$F$5:$F$40)&gt;0),IF(AND(L31&gt;1,L31&lt;181),SIN(RADIANS(L31-1))^3,0)+IF(AND(L31&gt;104,L31&lt;284),0.39*COS(RADIANS(L31-14))^2,0),"")</f>
        <v/>
      </c>
      <c r="Q31">
        <f>IF(AND(Report!$H$6&lt;&gt;"",COUNT(Spectra!$F$5:$F$40)&gt;0),62*(P31+0.31),"")</f>
        <v/>
      </c>
      <c r="R31">
        <f>IF(AND(Report!$H$6&lt;&gt;"",COUNT(Spectra!$F$5:$F$40)&gt;0),0.36*(P31+0.19),"")</f>
        <v/>
      </c>
      <c r="S31">
        <f>IF(AND(Report!$H$6&lt;&gt;"",COUNT(Spectra!$F$5:$F$40)&gt;0),Q31*(LN(O31/80+R31)-LN(R31)),"")</f>
        <v/>
      </c>
      <c r="T31">
        <f>IF(AND(Report!$H$6&lt;&gt;"",COUNT(Spectra!$F$5:$F$40)&gt;0),M31,"")</f>
        <v/>
      </c>
      <c r="U31">
        <f>IF(AND(Report!$H$6&lt;&gt;"",COUNT(Spectra!$F$5:$F$40)&gt;0),S31*COS(RADIANS(L31)),"")</f>
        <v/>
      </c>
      <c r="V31">
        <f>IF(AND(Report!$H$6&lt;&gt;"",COUNT(Spectra!$F$5:$F$40)&gt;0),S31*SIN(RADIANS(L31)),"")</f>
        <v/>
      </c>
      <c r="W31">
        <f>IF(AND(Report!$H$6&lt;&gt;"",COUNT(Spectra!$F$5:$F$40)&gt;0),IF(E31/INDEX(Matrices!$B$2:$B$17,C31)&gt;0.008856,(E31/INDEX(Matrices!$B$2:$B$17,C31))^(1/3),7.787*E31/INDEX(Matrices!$B$2:$B$17,C31)+16/116),"")</f>
        <v/>
      </c>
      <c r="X31">
        <f>IF(AND(Report!$H$6&lt;&gt;"",COUNT(Spectra!$F$5:$F$40)&gt;0),IF(F31/INDEX(Matrices!$C$2:$C$17,C31)&gt;0.008856,(F31/INDEX(Matrices!$C$2:$C$17,C31))^(1/3),7.787*F31/INDEX(Matrices!$C$2:$C$17,C31)+16/116),"")</f>
        <v/>
      </c>
      <c r="Y31">
        <f>IF(AND(Report!$H$6&lt;&gt;"",COUNT(Spectra!$F$5:$F$40)&gt;0),IF(G31/INDEX(Matrices!$D$2:$D$17,C31)&gt;0.008856,(G31/INDEX(Matrices!$D$2:$D$17,C31))^(1/3),7.787*G31/INDEX(Matrices!$D$2:$D$17,C31)+16/116),"")</f>
        <v/>
      </c>
      <c r="Z31">
        <f>IF(AND(Report!$H$6&lt;&gt;"",COUNT(Spectra!$F$5:$F$40)&gt;0),116*X31-16,"")</f>
        <v/>
      </c>
      <c r="AA31">
        <f>IF(AND(Report!$H$6&lt;&gt;"",COUNT(Spectra!$F$5:$F$40)&gt;0),500*(W31-X31),"")</f>
        <v/>
      </c>
      <c r="AB31">
        <f>IF(AND(Report!$H$6&lt;&gt;"",COUNT(Spectra!$F$5:$F$40)&gt;0),200*(X31-Y31),"")</f>
        <v/>
      </c>
    </row>
    <row r="32">
      <c r="A32" t="n">
        <v>6</v>
      </c>
      <c r="B32" t="n">
        <v>1</v>
      </c>
      <c r="C32">
        <f>IF(AND(Report!$C$6&lt;&gt;"",COUNT(Spectra!$G$5:$G$40)&gt;0),MATCH(Report!$C$6,Matrices!$A$2:$A$17,0),"")</f>
        <v/>
      </c>
      <c r="D32">
        <f>IF(AND(Report!$C$6&lt;&gt;"",COUNT(Spectra!$G$5:$G$40)&gt;0),MATCH(Report!$C$6,Weights!$B$3:$AW$3,0),"")</f>
        <v/>
      </c>
      <c r="E32">
        <f>IF(AND(Report!$C$6&lt;&gt;"",COUNT(Spectra!$G$5:$G$40)&gt;0),SUMPRODUCT(Spectra!$G$5:$G$40,INDEX(Weights!$B$5:$AW$40,0,D32+0))/Spectra!$N$5,"")</f>
        <v/>
      </c>
      <c r="F32">
        <f>IF(AND(Report!$C$6&lt;&gt;"",COUNT(Spectra!$G$5:$G$40)&gt;0),SUMPRODUCT(Spectra!$G$5:$G$40,INDEX(Weights!$B$5:$AW$40,0,D32+1))/Spectra!$N$5,"")</f>
        <v/>
      </c>
      <c r="G32">
        <f>IF(AND(Report!$C$6&lt;&gt;"",COUNT(Spectra!$G$5:$G$40)&gt;0),SUMPRODUCT(Spectra!$G$5:$G$40,INDEX(Weights!$B$5:$AW$40,0,D32+2))/Spectra!$N$5,"")</f>
        <v/>
      </c>
      <c r="H32">
        <f>IF(AND(Report!$C$6&lt;&gt;"",COUNT(Spectra!$G$5:$G$40)&gt;0),INDEX(Matrices!$E$2:$E$17,C32)*E32+INDEX(Matrices!$F$2:$F$17,C32)*F32+INDEX(Matrices!$G$2:$G$17,C32)*G32,"")</f>
        <v/>
      </c>
      <c r="I32">
        <f>IF(AND(Report!$C$6&lt;&gt;"",COUNT(Spectra!$G$5:$G$40)&gt;0),INDEX(Matrices!$H$2:$H$17,C32)*E32+INDEX(Matrices!$I$2:$I$17,C32)*F32+INDEX(Matrices!$J$2:$J$17,C32)*G32,"")</f>
        <v/>
      </c>
      <c r="J32">
        <f>IF(AND(Report!$C$6&lt;&gt;"",COUNT(Spectra!$G$5:$G$40)&gt;0),INDEX(Matrices!$K$2:$K$17,C32)*E32+INDEX(Matrices!$L$2:$L$17,C32)*F32+INDEX(Matrices!$M$2:$M$17,C32)*G32,"")</f>
        <v/>
      </c>
      <c r="K32">
        <f>IF(AND(Report!$C$6&lt;&gt;"",COUNT(Spectra!$G$5:$G$40)&gt;0),SQRT(I32^2+J32^2),"")</f>
        <v/>
      </c>
      <c r="L32">
        <f>IF(AND(Report!$C$6&lt;&gt;"",COUNT(Spectra!$G$5:$G$40)&gt;0),IF(K32=0,0,MOD(DEGREES(ATAN2(I32,J32)),360)),"")</f>
        <v/>
      </c>
      <c r="M32">
        <f>IF(AND(Report!$C$6&lt;&gt;"",COUNT(Spectra!$G$5:$G$40)&gt;0),IF(H32/100&gt;(6/29)^3,(H32/100)^(1/3),(1/3)*(29/6)^2*H32/100+16/116)*116-16,"")</f>
        <v/>
      </c>
      <c r="N32">
        <f>IF(AND(Report!$C$6&lt;&gt;"",COUNT(Spectra!$G$5:$G$40)&gt;0),EXP(0.026742553710937*(M32-51.576165618406904))/0.45888671875,"")</f>
        <v/>
      </c>
      <c r="O32">
        <f>IF(AND(Report!$C$6&lt;&gt;"",COUNT(Spectra!$G$5:$G$40)&gt;0),K32/N32,"")</f>
        <v/>
      </c>
      <c r="P32">
        <f>IF(AND(Report!$C$6&lt;&gt;"",COUNT(Spectra!$G$5:$G$40)&gt;0),IF(AND(L32&gt;1,L32&lt;181),SIN(RADIANS(L32-1))^3,0)+IF(AND(L32&gt;104,L32&lt;284),0.39*COS(RADIANS(L32-14))^2,0),"")</f>
        <v/>
      </c>
      <c r="Q32">
        <f>IF(AND(Report!$C$6&lt;&gt;"",COUNT(Spectra!$G$5:$G$40)&gt;0),62*(P32+0.31),"")</f>
        <v/>
      </c>
      <c r="R32">
        <f>IF(AND(Report!$C$6&lt;&gt;"",COUNT(Spectra!$G$5:$G$40)&gt;0),0.36*(P32+0.19),"")</f>
        <v/>
      </c>
      <c r="S32">
        <f>IF(AND(Report!$C$6&lt;&gt;"",COUNT(Spectra!$G$5:$G$40)&gt;0),Q32*(LN(O32/80+R32)-LN(R32)),"")</f>
        <v/>
      </c>
      <c r="T32">
        <f>IF(AND(Report!$C$6&lt;&gt;"",COUNT(Spectra!$G$5:$G$40)&gt;0),M32,"")</f>
        <v/>
      </c>
      <c r="U32">
        <f>IF(AND(Report!$C$6&lt;&gt;"",COUNT(Spectra!$G$5:$G$40)&gt;0),S32*COS(RADIANS(L32)),"")</f>
        <v/>
      </c>
      <c r="V32">
        <f>IF(AND(Report!$C$6&lt;&gt;"",COUNT(Spectra!$G$5:$G$40)&gt;0),S32*SIN(RADIANS(L32)),"")</f>
        <v/>
      </c>
      <c r="W32">
        <f>IF(AND(Report!$C$6&lt;&gt;"",COUNT(Spectra!$G$5:$G$40)&gt;0),IF(E32/INDEX(Matrices!$B$2:$B$17,C32)&gt;0.008856,(E32/INDEX(Matrices!$B$2:$B$17,C32))^(1/3),7.787*E32/INDEX(Matrices!$B$2:$B$17,C32)+16/116),"")</f>
        <v/>
      </c>
      <c r="X32">
        <f>IF(AND(Report!$C$6&lt;&gt;"",COUNT(Spectra!$G$5:$G$40)&gt;0),IF(F32/INDEX(Matrices!$C$2:$C$17,C32)&gt;0.008856,(F32/INDEX(Matrices!$C$2:$C$17,C32))^(1/3),7.787*F32/INDEX(Matrices!$C$2:$C$17,C32)+16/116),"")</f>
        <v/>
      </c>
      <c r="Y32">
        <f>IF(AND(Report!$C$6&lt;&gt;"",COUNT(Spectra!$G$5:$G$40)&gt;0),IF(G32/INDEX(Matrices!$D$2:$D$17,C32)&gt;0.008856,(G32/INDEX(Matrices!$D$2:$D$17,C32))^(1/3),7.787*G32/INDEX(Matrices!$D$2:$D$17,C32)+16/116),"")</f>
        <v/>
      </c>
      <c r="Z32">
        <f>IF(AND(Report!$C$6&lt;&gt;"",COUNT(Spectra!$G$5:$G$40)&gt;0),116*X32-16,"")</f>
        <v/>
      </c>
      <c r="AA32">
        <f>IF(AND(Report!$C$6&lt;&gt;"",COUNT(Spectra!$G$5:$G$40)&gt;0),500*(W32-X32),"")</f>
        <v/>
      </c>
      <c r="AB32">
        <f>IF(AND(Report!$C$6&lt;&gt;"",COUNT(Spectra!$G$5:$G$40)&gt;0),200*(X32-Y32),"")</f>
        <v/>
      </c>
    </row>
    <row r="33">
      <c r="A33" t="n">
        <v>6</v>
      </c>
      <c r="B33" t="n">
        <v>2</v>
      </c>
      <c r="C33">
        <f>IF(AND(Report!$D$6&lt;&gt;"",COUNT(Spectra!$G$5:$G$40)&gt;0),MATCH(Report!$D$6,Matrices!$A$2:$A$17,0),"")</f>
        <v/>
      </c>
      <c r="D33">
        <f>IF(AND(Report!$D$6&lt;&gt;"",COUNT(Spectra!$G$5:$G$40)&gt;0),MATCH(Report!$D$6,Weights!$B$3:$AW$3,0),"")</f>
        <v/>
      </c>
      <c r="E33">
        <f>IF(AND(Report!$D$6&lt;&gt;"",COUNT(Spectra!$G$5:$G$40)&gt;0),SUMPRODUCT(Spectra!$G$5:$G$40,INDEX(Weights!$B$5:$AW$40,0,D33+0))/Spectra!$N$5,"")</f>
        <v/>
      </c>
      <c r="F33">
        <f>IF(AND(Report!$D$6&lt;&gt;"",COUNT(Spectra!$G$5:$G$40)&gt;0),SUMPRODUCT(Spectra!$G$5:$G$40,INDEX(Weights!$B$5:$AW$40,0,D33+1))/Spectra!$N$5,"")</f>
        <v/>
      </c>
      <c r="G33">
        <f>IF(AND(Report!$D$6&lt;&gt;"",COUNT(Spectra!$G$5:$G$40)&gt;0),SUMPRODUCT(Spectra!$G$5:$G$40,INDEX(Weights!$B$5:$AW$40,0,D33+2))/Spectra!$N$5,"")</f>
        <v/>
      </c>
      <c r="H33">
        <f>IF(AND(Report!$D$6&lt;&gt;"",COUNT(Spectra!$G$5:$G$40)&gt;0),INDEX(Matrices!$E$2:$E$17,C33)*E33+INDEX(Matrices!$F$2:$F$17,C33)*F33+INDEX(Matrices!$G$2:$G$17,C33)*G33,"")</f>
        <v/>
      </c>
      <c r="I33">
        <f>IF(AND(Report!$D$6&lt;&gt;"",COUNT(Spectra!$G$5:$G$40)&gt;0),INDEX(Matrices!$H$2:$H$17,C33)*E33+INDEX(Matrices!$I$2:$I$17,C33)*F33+INDEX(Matrices!$J$2:$J$17,C33)*G33,"")</f>
        <v/>
      </c>
      <c r="J33">
        <f>IF(AND(Report!$D$6&lt;&gt;"",COUNT(Spectra!$G$5:$G$40)&gt;0),INDEX(Matrices!$K$2:$K$17,C33)*E33+INDEX(Matrices!$L$2:$L$17,C33)*F33+INDEX(Matrices!$M$2:$M$17,C33)*G33,"")</f>
        <v/>
      </c>
      <c r="K33">
        <f>IF(AND(Report!$D$6&lt;&gt;"",COUNT(Spectra!$G$5:$G$40)&gt;0),SQRT(I33^2+J33^2),"")</f>
        <v/>
      </c>
      <c r="L33">
        <f>IF(AND(Report!$D$6&lt;&gt;"",COUNT(Spectra!$G$5:$G$40)&gt;0),IF(K33=0,0,MOD(DEGREES(ATAN2(I33,J33)),360)),"")</f>
        <v/>
      </c>
      <c r="M33">
        <f>IF(AND(Report!$D$6&lt;&gt;"",COUNT(Spectra!$G$5:$G$40)&gt;0),IF(H33/100&gt;(6/29)^3,(H33/100)^(1/3),(1/3)*(29/6)^2*H33/100+16/116)*116-16,"")</f>
        <v/>
      </c>
      <c r="N33">
        <f>IF(AND(Report!$D$6&lt;&gt;"",COUNT(Spectra!$G$5:$G$40)&gt;0),EXP(0.026742553710937*(M33-51.576165618406904))/0.45888671875,"")</f>
        <v/>
      </c>
      <c r="O33">
        <f>IF(AND(Report!$D$6&lt;&gt;"",COUNT(Spectra!$G$5:$G$40)&gt;0),K33/N33,"")</f>
        <v/>
      </c>
      <c r="P33">
        <f>IF(AND(Report!$D$6&lt;&gt;"",COUNT(Spectra!$G$5:$G$40)&gt;0),IF(AND(L33&gt;1,L33&lt;181),SIN(RADIANS(L33-1))^3,0)+IF(AND(L33&gt;104,L33&lt;284),0.39*COS(RADIANS(L33-14))^2,0),"")</f>
        <v/>
      </c>
      <c r="Q33">
        <f>IF(AND(Report!$D$6&lt;&gt;"",COUNT(Spectra!$G$5:$G$40)&gt;0),62*(P33+0.31),"")</f>
        <v/>
      </c>
      <c r="R33">
        <f>IF(AND(Report!$D$6&lt;&gt;"",COUNT(Spectra!$G$5:$G$40)&gt;0),0.36*(P33+0.19),"")</f>
        <v/>
      </c>
      <c r="S33">
        <f>IF(AND(Report!$D$6&lt;&gt;"",COUNT(Spectra!$G$5:$G$40)&gt;0),Q33*(LN(O33/80+R33)-LN(R33)),"")</f>
        <v/>
      </c>
      <c r="T33">
        <f>IF(AND(Report!$D$6&lt;&gt;"",COUNT(Spectra!$G$5:$G$40)&gt;0),M33,"")</f>
        <v/>
      </c>
      <c r="U33">
        <f>IF(AND(Report!$D$6&lt;&gt;"",COUNT(Spectra!$G$5:$G$40)&gt;0),S33*COS(RADIANS(L33)),"")</f>
        <v/>
      </c>
      <c r="V33">
        <f>IF(AND(Report!$D$6&lt;&gt;"",COUNT(Spectra!$G$5:$G$40)&gt;0),S33*SIN(RADIANS(L33)),"")</f>
        <v/>
      </c>
      <c r="W33">
        <f>IF(AND(Report!$D$6&lt;&gt;"",COUNT(Spectra!$G$5:$G$40)&gt;0),IF(E33/INDEX(Matrices!$B$2:$B$17,C33)&gt;0.008856,(E33/INDEX(Matrices!$B$2:$B$17,C33))^(1/3),7.787*E33/INDEX(Matrices!$B$2:$B$17,C33)+16/116),"")</f>
        <v/>
      </c>
      <c r="X33">
        <f>IF(AND(Report!$D$6&lt;&gt;"",COUNT(Spectra!$G$5:$G$40)&gt;0),IF(F33/INDEX(Matrices!$C$2:$C$17,C33)&gt;0.008856,(F33/INDEX(Matrices!$C$2:$C$17,C33))^(1/3),7.787*F33/INDEX(Matrices!$C$2:$C$17,C33)+16/116),"")</f>
        <v/>
      </c>
      <c r="Y33">
        <f>IF(AND(Report!$D$6&lt;&gt;"",COUNT(Spectra!$G$5:$G$40)&gt;0),IF(G33/INDEX(Matrices!$D$2:$D$17,C33)&gt;0.008856,(G33/INDEX(Matrices!$D$2:$D$17,C33))^(1/3),7.787*G33/INDEX(Matrices!$D$2:$D$17,C33)+16/116),"")</f>
        <v/>
      </c>
      <c r="Z33">
        <f>IF(AND(Report!$D$6&lt;&gt;"",COUNT(Spectra!$G$5:$G$40)&gt;0),116*X33-16,"")</f>
        <v/>
      </c>
      <c r="AA33">
        <f>IF(AND(Report!$D$6&lt;&gt;"",COUNT(Spectra!$G$5:$G$40)&gt;0),500*(W33-X33),"")</f>
        <v/>
      </c>
      <c r="AB33">
        <f>IF(AND(Report!$D$6&lt;&gt;"",COUNT(Spectra!$G$5:$G$40)&gt;0),200*(X33-Y33),"")</f>
        <v/>
      </c>
    </row>
    <row r="34">
      <c r="A34" t="n">
        <v>6</v>
      </c>
      <c r="B34" t="n">
        <v>3</v>
      </c>
      <c r="C34">
        <f>IF(AND(Report!$E$6&lt;&gt;"",COUNT(Spectra!$G$5:$G$40)&gt;0),MATCH(Report!$E$6,Matrices!$A$2:$A$17,0),"")</f>
        <v/>
      </c>
      <c r="D34">
        <f>IF(AND(Report!$E$6&lt;&gt;"",COUNT(Spectra!$G$5:$G$40)&gt;0),MATCH(Report!$E$6,Weights!$B$3:$AW$3,0),"")</f>
        <v/>
      </c>
      <c r="E34">
        <f>IF(AND(Report!$E$6&lt;&gt;"",COUNT(Spectra!$G$5:$G$40)&gt;0),SUMPRODUCT(Spectra!$G$5:$G$40,INDEX(Weights!$B$5:$AW$40,0,D34+0))/Spectra!$N$5,"")</f>
        <v/>
      </c>
      <c r="F34">
        <f>IF(AND(Report!$E$6&lt;&gt;"",COUNT(Spectra!$G$5:$G$40)&gt;0),SUMPRODUCT(Spectra!$G$5:$G$40,INDEX(Weights!$B$5:$AW$40,0,D34+1))/Spectra!$N$5,"")</f>
        <v/>
      </c>
      <c r="G34">
        <f>IF(AND(Report!$E$6&lt;&gt;"",COUNT(Spectra!$G$5:$G$40)&gt;0),SUMPRODUCT(Spectra!$G$5:$G$40,INDEX(Weights!$B$5:$AW$40,0,D34+2))/Spectra!$N$5,"")</f>
        <v/>
      </c>
      <c r="H34">
        <f>IF(AND(Report!$E$6&lt;&gt;"",COUNT(Spectra!$G$5:$G$40)&gt;0),INDEX(Matrices!$E$2:$E$17,C34)*E34+INDEX(Matrices!$F$2:$F$17,C34)*F34+INDEX(Matrices!$G$2:$G$17,C34)*G34,"")</f>
        <v/>
      </c>
      <c r="I34">
        <f>IF(AND(Report!$E$6&lt;&gt;"",COUNT(Spectra!$G$5:$G$40)&gt;0),INDEX(Matrices!$H$2:$H$17,C34)*E34+INDEX(Matrices!$I$2:$I$17,C34)*F34+INDEX(Matrices!$J$2:$J$17,C34)*G34,"")</f>
        <v/>
      </c>
      <c r="J34">
        <f>IF(AND(Report!$E$6&lt;&gt;"",COUNT(Spectra!$G$5:$G$40)&gt;0),INDEX(Matrices!$K$2:$K$17,C34)*E34+INDEX(Matrices!$L$2:$L$17,C34)*F34+INDEX(Matrices!$M$2:$M$17,C34)*G34,"")</f>
        <v/>
      </c>
      <c r="K34">
        <f>IF(AND(Report!$E$6&lt;&gt;"",COUNT(Spectra!$G$5:$G$40)&gt;0),SQRT(I34^2+J34^2),"")</f>
        <v/>
      </c>
      <c r="L34">
        <f>IF(AND(Report!$E$6&lt;&gt;"",COUNT(Spectra!$G$5:$G$40)&gt;0),IF(K34=0,0,MOD(DEGREES(ATAN2(I34,J34)),360)),"")</f>
        <v/>
      </c>
      <c r="M34">
        <f>IF(AND(Report!$E$6&lt;&gt;"",COUNT(Spectra!$G$5:$G$40)&gt;0),IF(H34/100&gt;(6/29)^3,(H34/100)^(1/3),(1/3)*(29/6)^2*H34/100+16/116)*116-16,"")</f>
        <v/>
      </c>
      <c r="N34">
        <f>IF(AND(Report!$E$6&lt;&gt;"",COUNT(Spectra!$G$5:$G$40)&gt;0),EXP(0.026742553710937*(M34-51.576165618406904))/0.45888671875,"")</f>
        <v/>
      </c>
      <c r="O34">
        <f>IF(AND(Report!$E$6&lt;&gt;"",COUNT(Spectra!$G$5:$G$40)&gt;0),K34/N34,"")</f>
        <v/>
      </c>
      <c r="P34">
        <f>IF(AND(Report!$E$6&lt;&gt;"",COUNT(Spectra!$G$5:$G$40)&gt;0),IF(AND(L34&gt;1,L34&lt;181),SIN(RADIANS(L34-1))^3,0)+IF(AND(L34&gt;104,L34&lt;284),0.39*COS(RADIANS(L34-14))^2,0),"")</f>
        <v/>
      </c>
      <c r="Q34">
        <f>IF(AND(Report!$E$6&lt;&gt;"",COUNT(Spectra!$G$5:$G$40)&gt;0),62*(P34+0.31),"")</f>
        <v/>
      </c>
      <c r="R34">
        <f>IF(AND(Report!$E$6&lt;&gt;"",COUNT(Spectra!$G$5:$G$40)&gt;0),0.36*(P34+0.19),"")</f>
        <v/>
      </c>
      <c r="S34">
        <f>IF(AND(Report!$E$6&lt;&gt;"",COUNT(Spectra!$G$5:$G$40)&gt;0),Q34*(LN(O34/80+R34)-LN(R34)),"")</f>
        <v/>
      </c>
      <c r="T34">
        <f>IF(AND(Report!$E$6&lt;&gt;"",COUNT(Spectra!$G$5:$G$40)&gt;0),M34,"")</f>
        <v/>
      </c>
      <c r="U34">
        <f>IF(AND(Report!$E$6&lt;&gt;"",COUNT(Spectra!$G$5:$G$40)&gt;0),S34*COS(RADIANS(L34)),"")</f>
        <v/>
      </c>
      <c r="V34">
        <f>IF(AND(Report!$E$6&lt;&gt;"",COUNT(Spectra!$G$5:$G$40)&gt;0),S34*SIN(RADIANS(L34)),"")</f>
        <v/>
      </c>
      <c r="W34">
        <f>IF(AND(Report!$E$6&lt;&gt;"",COUNT(Spectra!$G$5:$G$40)&gt;0),IF(E34/INDEX(Matrices!$B$2:$B$17,C34)&gt;0.008856,(E34/INDEX(Matrices!$B$2:$B$17,C34))^(1/3),7.787*E34/INDEX(Matrices!$B$2:$B$17,C34)+16/116),"")</f>
        <v/>
      </c>
      <c r="X34">
        <f>IF(AND(Report!$E$6&lt;&gt;"",COUNT(Spectra!$G$5:$G$40)&gt;0),IF(F34/INDEX(Matrices!$C$2:$C$17,C34)&gt;0.008856,(F34/INDEX(Matrices!$C$2:$C$17,C34))^(1/3),7.787*F34/INDEX(Matrices!$C$2:$C$17,C34)+16/116),"")</f>
        <v/>
      </c>
      <c r="Y34">
        <f>IF(AND(Report!$E$6&lt;&gt;"",COUNT(Spectra!$G$5:$G$40)&gt;0),IF(G34/INDEX(Matrices!$D$2:$D$17,C34)&gt;0.008856,(G34/INDEX(Matrices!$D$2:$D$17,C34))^(1/3),7.787*G34/INDEX(Matrices!$D$2:$D$17,C34)+16/116),"")</f>
        <v/>
      </c>
      <c r="Z34">
        <f>IF(AND(Report!$E$6&lt;&gt;"",COUNT(Spectra!$G$5:$G$40)&gt;0),116*X34-16,"")</f>
        <v/>
      </c>
      <c r="AA34">
        <f>IF(AND(Report!$E$6&lt;&gt;"",COUNT(Spectra!$G$5:$G$40)&gt;0),500*(W34-X34),"")</f>
        <v/>
      </c>
      <c r="AB34">
        <f>IF(AND(Report!$E$6&lt;&gt;"",COUNT(Spectra!$G$5:$G$40)&gt;0),200*(X34-Y34),"")</f>
        <v/>
      </c>
    </row>
    <row r="35">
      <c r="A35" t="n">
        <v>6</v>
      </c>
      <c r="B35" t="n">
        <v>4</v>
      </c>
      <c r="C35">
        <f>IF(AND(Report!$F$6&lt;&gt;"",COUNT(Spectra!$G$5:$G$40)&gt;0),MATCH(Report!$F$6,Matrices!$A$2:$A$17,0),"")</f>
        <v/>
      </c>
      <c r="D35">
        <f>IF(AND(Report!$F$6&lt;&gt;"",COUNT(Spectra!$G$5:$G$40)&gt;0),MATCH(Report!$F$6,Weights!$B$3:$AW$3,0),"")</f>
        <v/>
      </c>
      <c r="E35">
        <f>IF(AND(Report!$F$6&lt;&gt;"",COUNT(Spectra!$G$5:$G$40)&gt;0),SUMPRODUCT(Spectra!$G$5:$G$40,INDEX(Weights!$B$5:$AW$40,0,D35+0))/Spectra!$N$5,"")</f>
        <v/>
      </c>
      <c r="F35">
        <f>IF(AND(Report!$F$6&lt;&gt;"",COUNT(Spectra!$G$5:$G$40)&gt;0),SUMPRODUCT(Spectra!$G$5:$G$40,INDEX(Weights!$B$5:$AW$40,0,D35+1))/Spectra!$N$5,"")</f>
        <v/>
      </c>
      <c r="G35">
        <f>IF(AND(Report!$F$6&lt;&gt;"",COUNT(Spectra!$G$5:$G$40)&gt;0),SUMPRODUCT(Spectra!$G$5:$G$40,INDEX(Weights!$B$5:$AW$40,0,D35+2))/Spectra!$N$5,"")</f>
        <v/>
      </c>
      <c r="H35">
        <f>IF(AND(Report!$F$6&lt;&gt;"",COUNT(Spectra!$G$5:$G$40)&gt;0),INDEX(Matrices!$E$2:$E$17,C35)*E35+INDEX(Matrices!$F$2:$F$17,C35)*F35+INDEX(Matrices!$G$2:$G$17,C35)*G35,"")</f>
        <v/>
      </c>
      <c r="I35">
        <f>IF(AND(Report!$F$6&lt;&gt;"",COUNT(Spectra!$G$5:$G$40)&gt;0),INDEX(Matrices!$H$2:$H$17,C35)*E35+INDEX(Matrices!$I$2:$I$17,C35)*F35+INDEX(Matrices!$J$2:$J$17,C35)*G35,"")</f>
        <v/>
      </c>
      <c r="J35">
        <f>IF(AND(Report!$F$6&lt;&gt;"",COUNT(Spectra!$G$5:$G$40)&gt;0),INDEX(Matrices!$K$2:$K$17,C35)*E35+INDEX(Matrices!$L$2:$L$17,C35)*F35+INDEX(Matrices!$M$2:$M$17,C35)*G35,"")</f>
        <v/>
      </c>
      <c r="K35">
        <f>IF(AND(Report!$F$6&lt;&gt;"",COUNT(Spectra!$G$5:$G$40)&gt;0),SQRT(I35^2+J35^2),"")</f>
        <v/>
      </c>
      <c r="L35">
        <f>IF(AND(Report!$F$6&lt;&gt;"",COUNT(Spectra!$G$5:$G$40)&gt;0),IF(K35=0,0,MOD(DEGREES(ATAN2(I35,J35)),360)),"")</f>
        <v/>
      </c>
      <c r="M35">
        <f>IF(AND(Report!$F$6&lt;&gt;"",COUNT(Spectra!$G$5:$G$40)&gt;0),IF(H35/100&gt;(6/29)^3,(H35/100)^(1/3),(1/3)*(29/6)^2*H35/100+16/116)*116-16,"")</f>
        <v/>
      </c>
      <c r="N35">
        <f>IF(AND(Report!$F$6&lt;&gt;"",COUNT(Spectra!$G$5:$G$40)&gt;0),EXP(0.026742553710937*(M35-51.576165618406904))/0.45888671875,"")</f>
        <v/>
      </c>
      <c r="O35">
        <f>IF(AND(Report!$F$6&lt;&gt;"",COUNT(Spectra!$G$5:$G$40)&gt;0),K35/N35,"")</f>
        <v/>
      </c>
      <c r="P35">
        <f>IF(AND(Report!$F$6&lt;&gt;"",COUNT(Spectra!$G$5:$G$40)&gt;0),IF(AND(L35&gt;1,L35&lt;181),SIN(RADIANS(L35-1))^3,0)+IF(AND(L35&gt;104,L35&lt;284),0.39*COS(RADIANS(L35-14))^2,0),"")</f>
        <v/>
      </c>
      <c r="Q35">
        <f>IF(AND(Report!$F$6&lt;&gt;"",COUNT(Spectra!$G$5:$G$40)&gt;0),62*(P35+0.31),"")</f>
        <v/>
      </c>
      <c r="R35">
        <f>IF(AND(Report!$F$6&lt;&gt;"",COUNT(Spectra!$G$5:$G$40)&gt;0),0.36*(P35+0.19),"")</f>
        <v/>
      </c>
      <c r="S35">
        <f>IF(AND(Report!$F$6&lt;&gt;"",COUNT(Spectra!$G$5:$G$40)&gt;0),Q35*(LN(O35/80+R35)-LN(R35)),"")</f>
        <v/>
      </c>
      <c r="T35">
        <f>IF(AND(Report!$F$6&lt;&gt;"",COUNT(Spectra!$G$5:$G$40)&gt;0),M35,"")</f>
        <v/>
      </c>
      <c r="U35">
        <f>IF(AND(Report!$F$6&lt;&gt;"",COUNT(Spectra!$G$5:$G$40)&gt;0),S35*COS(RADIANS(L35)),"")</f>
        <v/>
      </c>
      <c r="V35">
        <f>IF(AND(Report!$F$6&lt;&gt;"",COUNT(Spectra!$G$5:$G$40)&gt;0),S35*SIN(RADIANS(L35)),"")</f>
        <v/>
      </c>
      <c r="W35">
        <f>IF(AND(Report!$F$6&lt;&gt;"",COUNT(Spectra!$G$5:$G$40)&gt;0),IF(E35/INDEX(Matrices!$B$2:$B$17,C35)&gt;0.008856,(E35/INDEX(Matrices!$B$2:$B$17,C35))^(1/3),7.787*E35/INDEX(Matrices!$B$2:$B$17,C35)+16/116),"")</f>
        <v/>
      </c>
      <c r="X35">
        <f>IF(AND(Report!$F$6&lt;&gt;"",COUNT(Spectra!$G$5:$G$40)&gt;0),IF(F35/INDEX(Matrices!$C$2:$C$17,C35)&gt;0.008856,(F35/INDEX(Matrices!$C$2:$C$17,C35))^(1/3),7.787*F35/INDEX(Matrices!$C$2:$C$17,C35)+16/116),"")</f>
        <v/>
      </c>
      <c r="Y35">
        <f>IF(AND(Report!$F$6&lt;&gt;"",COUNT(Spectra!$G$5:$G$40)&gt;0),IF(G35/INDEX(Matrices!$D$2:$D$17,C35)&gt;0.008856,(G35/INDEX(Matrices!$D$2:$D$17,C35))^(1/3),7.787*G35/INDEX(Matrices!$D$2:$D$17,C35)+16/116),"")</f>
        <v/>
      </c>
      <c r="Z35">
        <f>IF(AND(Report!$F$6&lt;&gt;"",COUNT(Spectra!$G$5:$G$40)&gt;0),116*X35-16,"")</f>
        <v/>
      </c>
      <c r="AA35">
        <f>IF(AND(Report!$F$6&lt;&gt;"",COUNT(Spectra!$G$5:$G$40)&gt;0),500*(W35-X35),"")</f>
        <v/>
      </c>
      <c r="AB35">
        <f>IF(AND(Report!$F$6&lt;&gt;"",COUNT(Spectra!$G$5:$G$40)&gt;0),200*(X35-Y35),"")</f>
        <v/>
      </c>
    </row>
    <row r="36">
      <c r="A36" t="n">
        <v>6</v>
      </c>
      <c r="B36" t="n">
        <v>5</v>
      </c>
      <c r="C36">
        <f>IF(AND(Report!$G$6&lt;&gt;"",COUNT(Spectra!$G$5:$G$40)&gt;0),MATCH(Report!$G$6,Matrices!$A$2:$A$17,0),"")</f>
        <v/>
      </c>
      <c r="D36">
        <f>IF(AND(Report!$G$6&lt;&gt;"",COUNT(Spectra!$G$5:$G$40)&gt;0),MATCH(Report!$G$6,Weights!$B$3:$AW$3,0),"")</f>
        <v/>
      </c>
      <c r="E36">
        <f>IF(AND(Report!$G$6&lt;&gt;"",COUNT(Spectra!$G$5:$G$40)&gt;0),SUMPRODUCT(Spectra!$G$5:$G$40,INDEX(Weights!$B$5:$AW$40,0,D36+0))/Spectra!$N$5,"")</f>
        <v/>
      </c>
      <c r="F36">
        <f>IF(AND(Report!$G$6&lt;&gt;"",COUNT(Spectra!$G$5:$G$40)&gt;0),SUMPRODUCT(Spectra!$G$5:$G$40,INDEX(Weights!$B$5:$AW$40,0,D36+1))/Spectra!$N$5,"")</f>
        <v/>
      </c>
      <c r="G36">
        <f>IF(AND(Report!$G$6&lt;&gt;"",COUNT(Spectra!$G$5:$G$40)&gt;0),SUMPRODUCT(Spectra!$G$5:$G$40,INDEX(Weights!$B$5:$AW$40,0,D36+2))/Spectra!$N$5,"")</f>
        <v/>
      </c>
      <c r="H36">
        <f>IF(AND(Report!$G$6&lt;&gt;"",COUNT(Spectra!$G$5:$G$40)&gt;0),INDEX(Matrices!$E$2:$E$17,C36)*E36+INDEX(Matrices!$F$2:$F$17,C36)*F36+INDEX(Matrices!$G$2:$G$17,C36)*G36,"")</f>
        <v/>
      </c>
      <c r="I36">
        <f>IF(AND(Report!$G$6&lt;&gt;"",COUNT(Spectra!$G$5:$G$40)&gt;0),INDEX(Matrices!$H$2:$H$17,C36)*E36+INDEX(Matrices!$I$2:$I$17,C36)*F36+INDEX(Matrices!$J$2:$J$17,C36)*G36,"")</f>
        <v/>
      </c>
      <c r="J36">
        <f>IF(AND(Report!$G$6&lt;&gt;"",COUNT(Spectra!$G$5:$G$40)&gt;0),INDEX(Matrices!$K$2:$K$17,C36)*E36+INDEX(Matrices!$L$2:$L$17,C36)*F36+INDEX(Matrices!$M$2:$M$17,C36)*G36,"")</f>
        <v/>
      </c>
      <c r="K36">
        <f>IF(AND(Report!$G$6&lt;&gt;"",COUNT(Spectra!$G$5:$G$40)&gt;0),SQRT(I36^2+J36^2),"")</f>
        <v/>
      </c>
      <c r="L36">
        <f>IF(AND(Report!$G$6&lt;&gt;"",COUNT(Spectra!$G$5:$G$40)&gt;0),IF(K36=0,0,MOD(DEGREES(ATAN2(I36,J36)),360)),"")</f>
        <v/>
      </c>
      <c r="M36">
        <f>IF(AND(Report!$G$6&lt;&gt;"",COUNT(Spectra!$G$5:$G$40)&gt;0),IF(H36/100&gt;(6/29)^3,(H36/100)^(1/3),(1/3)*(29/6)^2*H36/100+16/116)*116-16,"")</f>
        <v/>
      </c>
      <c r="N36">
        <f>IF(AND(Report!$G$6&lt;&gt;"",COUNT(Spectra!$G$5:$G$40)&gt;0),EXP(0.026742553710937*(M36-51.576165618406904))/0.45888671875,"")</f>
        <v/>
      </c>
      <c r="O36">
        <f>IF(AND(Report!$G$6&lt;&gt;"",COUNT(Spectra!$G$5:$G$40)&gt;0),K36/N36,"")</f>
        <v/>
      </c>
      <c r="P36">
        <f>IF(AND(Report!$G$6&lt;&gt;"",COUNT(Spectra!$G$5:$G$40)&gt;0),IF(AND(L36&gt;1,L36&lt;181),SIN(RADIANS(L36-1))^3,0)+IF(AND(L36&gt;104,L36&lt;284),0.39*COS(RADIANS(L36-14))^2,0),"")</f>
        <v/>
      </c>
      <c r="Q36">
        <f>IF(AND(Report!$G$6&lt;&gt;"",COUNT(Spectra!$G$5:$G$40)&gt;0),62*(P36+0.31),"")</f>
        <v/>
      </c>
      <c r="R36">
        <f>IF(AND(Report!$G$6&lt;&gt;"",COUNT(Spectra!$G$5:$G$40)&gt;0),0.36*(P36+0.19),"")</f>
        <v/>
      </c>
      <c r="S36">
        <f>IF(AND(Report!$G$6&lt;&gt;"",COUNT(Spectra!$G$5:$G$40)&gt;0),Q36*(LN(O36/80+R36)-LN(R36)),"")</f>
        <v/>
      </c>
      <c r="T36">
        <f>IF(AND(Report!$G$6&lt;&gt;"",COUNT(Spectra!$G$5:$G$40)&gt;0),M36,"")</f>
        <v/>
      </c>
      <c r="U36">
        <f>IF(AND(Report!$G$6&lt;&gt;"",COUNT(Spectra!$G$5:$G$40)&gt;0),S36*COS(RADIANS(L36)),"")</f>
        <v/>
      </c>
      <c r="V36">
        <f>IF(AND(Report!$G$6&lt;&gt;"",COUNT(Spectra!$G$5:$G$40)&gt;0),S36*SIN(RADIANS(L36)),"")</f>
        <v/>
      </c>
      <c r="W36">
        <f>IF(AND(Report!$G$6&lt;&gt;"",COUNT(Spectra!$G$5:$G$40)&gt;0),IF(E36/INDEX(Matrices!$B$2:$B$17,C36)&gt;0.008856,(E36/INDEX(Matrices!$B$2:$B$17,C36))^(1/3),7.787*E36/INDEX(Matrices!$B$2:$B$17,C36)+16/116),"")</f>
        <v/>
      </c>
      <c r="X36">
        <f>IF(AND(Report!$G$6&lt;&gt;"",COUNT(Spectra!$G$5:$G$40)&gt;0),IF(F36/INDEX(Matrices!$C$2:$C$17,C36)&gt;0.008856,(F36/INDEX(Matrices!$C$2:$C$17,C36))^(1/3),7.787*F36/INDEX(Matrices!$C$2:$C$17,C36)+16/116),"")</f>
        <v/>
      </c>
      <c r="Y36">
        <f>IF(AND(Report!$G$6&lt;&gt;"",COUNT(Spectra!$G$5:$G$40)&gt;0),IF(G36/INDEX(Matrices!$D$2:$D$17,C36)&gt;0.008856,(G36/INDEX(Matrices!$D$2:$D$17,C36))^(1/3),7.787*G36/INDEX(Matrices!$D$2:$D$17,C36)+16/116),"")</f>
        <v/>
      </c>
      <c r="Z36">
        <f>IF(AND(Report!$G$6&lt;&gt;"",COUNT(Spectra!$G$5:$G$40)&gt;0),116*X36-16,"")</f>
        <v/>
      </c>
      <c r="AA36">
        <f>IF(AND(Report!$G$6&lt;&gt;"",COUNT(Spectra!$G$5:$G$40)&gt;0),500*(W36-X36),"")</f>
        <v/>
      </c>
      <c r="AB36">
        <f>IF(AND(Report!$G$6&lt;&gt;"",COUNT(Spectra!$G$5:$G$40)&gt;0),200*(X36-Y36),"")</f>
        <v/>
      </c>
    </row>
    <row r="37">
      <c r="A37" t="n">
        <v>6</v>
      </c>
      <c r="B37" t="n">
        <v>6</v>
      </c>
      <c r="C37">
        <f>IF(AND(Report!$H$6&lt;&gt;"",COUNT(Spectra!$G$5:$G$40)&gt;0),MATCH(Report!$H$6,Matrices!$A$2:$A$17,0),"")</f>
        <v/>
      </c>
      <c r="D37">
        <f>IF(AND(Report!$H$6&lt;&gt;"",COUNT(Spectra!$G$5:$G$40)&gt;0),MATCH(Report!$H$6,Weights!$B$3:$AW$3,0),"")</f>
        <v/>
      </c>
      <c r="E37">
        <f>IF(AND(Report!$H$6&lt;&gt;"",COUNT(Spectra!$G$5:$G$40)&gt;0),SUMPRODUCT(Spectra!$G$5:$G$40,INDEX(Weights!$B$5:$AW$40,0,D37+0))/Spectra!$N$5,"")</f>
        <v/>
      </c>
      <c r="F37">
        <f>IF(AND(Report!$H$6&lt;&gt;"",COUNT(Spectra!$G$5:$G$40)&gt;0),SUMPRODUCT(Spectra!$G$5:$G$40,INDEX(Weights!$B$5:$AW$40,0,D37+1))/Spectra!$N$5,"")</f>
        <v/>
      </c>
      <c r="G37">
        <f>IF(AND(Report!$H$6&lt;&gt;"",COUNT(Spectra!$G$5:$G$40)&gt;0),SUMPRODUCT(Spectra!$G$5:$G$40,INDEX(Weights!$B$5:$AW$40,0,D37+2))/Spectra!$N$5,"")</f>
        <v/>
      </c>
      <c r="H37">
        <f>IF(AND(Report!$H$6&lt;&gt;"",COUNT(Spectra!$G$5:$G$40)&gt;0),INDEX(Matrices!$E$2:$E$17,C37)*E37+INDEX(Matrices!$F$2:$F$17,C37)*F37+INDEX(Matrices!$G$2:$G$17,C37)*G37,"")</f>
        <v/>
      </c>
      <c r="I37">
        <f>IF(AND(Report!$H$6&lt;&gt;"",COUNT(Spectra!$G$5:$G$40)&gt;0),INDEX(Matrices!$H$2:$H$17,C37)*E37+INDEX(Matrices!$I$2:$I$17,C37)*F37+INDEX(Matrices!$J$2:$J$17,C37)*G37,"")</f>
        <v/>
      </c>
      <c r="J37">
        <f>IF(AND(Report!$H$6&lt;&gt;"",COUNT(Spectra!$G$5:$G$40)&gt;0),INDEX(Matrices!$K$2:$K$17,C37)*E37+INDEX(Matrices!$L$2:$L$17,C37)*F37+INDEX(Matrices!$M$2:$M$17,C37)*G37,"")</f>
        <v/>
      </c>
      <c r="K37">
        <f>IF(AND(Report!$H$6&lt;&gt;"",COUNT(Spectra!$G$5:$G$40)&gt;0),SQRT(I37^2+J37^2),"")</f>
        <v/>
      </c>
      <c r="L37">
        <f>IF(AND(Report!$H$6&lt;&gt;"",COUNT(Spectra!$G$5:$G$40)&gt;0),IF(K37=0,0,MOD(DEGREES(ATAN2(I37,J37)),360)),"")</f>
        <v/>
      </c>
      <c r="M37">
        <f>IF(AND(Report!$H$6&lt;&gt;"",COUNT(Spectra!$G$5:$G$40)&gt;0),IF(H37/100&gt;(6/29)^3,(H37/100)^(1/3),(1/3)*(29/6)^2*H37/100+16/116)*116-16,"")</f>
        <v/>
      </c>
      <c r="N37">
        <f>IF(AND(Report!$H$6&lt;&gt;"",COUNT(Spectra!$G$5:$G$40)&gt;0),EXP(0.026742553710937*(M37-51.576165618406904))/0.45888671875,"")</f>
        <v/>
      </c>
      <c r="O37">
        <f>IF(AND(Report!$H$6&lt;&gt;"",COUNT(Spectra!$G$5:$G$40)&gt;0),K37/N37,"")</f>
        <v/>
      </c>
      <c r="P37">
        <f>IF(AND(Report!$H$6&lt;&gt;"",COUNT(Spectra!$G$5:$G$40)&gt;0),IF(AND(L37&gt;1,L37&lt;181),SIN(RADIANS(L37-1))^3,0)+IF(AND(L37&gt;104,L37&lt;284),0.39*COS(RADIANS(L37-14))^2,0),"")</f>
        <v/>
      </c>
      <c r="Q37">
        <f>IF(AND(Report!$H$6&lt;&gt;"",COUNT(Spectra!$G$5:$G$40)&gt;0),62*(P37+0.31),"")</f>
        <v/>
      </c>
      <c r="R37">
        <f>IF(AND(Report!$H$6&lt;&gt;"",COUNT(Spectra!$G$5:$G$40)&gt;0),0.36*(P37+0.19),"")</f>
        <v/>
      </c>
      <c r="S37">
        <f>IF(AND(Report!$H$6&lt;&gt;"",COUNT(Spectra!$G$5:$G$40)&gt;0),Q37*(LN(O37/80+R37)-LN(R37)),"")</f>
        <v/>
      </c>
      <c r="T37">
        <f>IF(AND(Report!$H$6&lt;&gt;"",COUNT(Spectra!$G$5:$G$40)&gt;0),M37,"")</f>
        <v/>
      </c>
      <c r="U37">
        <f>IF(AND(Report!$H$6&lt;&gt;"",COUNT(Spectra!$G$5:$G$40)&gt;0),S37*COS(RADIANS(L37)),"")</f>
        <v/>
      </c>
      <c r="V37">
        <f>IF(AND(Report!$H$6&lt;&gt;"",COUNT(Spectra!$G$5:$G$40)&gt;0),S37*SIN(RADIANS(L37)),"")</f>
        <v/>
      </c>
      <c r="W37">
        <f>IF(AND(Report!$H$6&lt;&gt;"",COUNT(Spectra!$G$5:$G$40)&gt;0),IF(E37/INDEX(Matrices!$B$2:$B$17,C37)&gt;0.008856,(E37/INDEX(Matrices!$B$2:$B$17,C37))^(1/3),7.787*E37/INDEX(Matrices!$B$2:$B$17,C37)+16/116),"")</f>
        <v/>
      </c>
      <c r="X37">
        <f>IF(AND(Report!$H$6&lt;&gt;"",COUNT(Spectra!$G$5:$G$40)&gt;0),IF(F37/INDEX(Matrices!$C$2:$C$17,C37)&gt;0.008856,(F37/INDEX(Matrices!$C$2:$C$17,C37))^(1/3),7.787*F37/INDEX(Matrices!$C$2:$C$17,C37)+16/116),"")</f>
        <v/>
      </c>
      <c r="Y37">
        <f>IF(AND(Report!$H$6&lt;&gt;"",COUNT(Spectra!$G$5:$G$40)&gt;0),IF(G37/INDEX(Matrices!$D$2:$D$17,C37)&gt;0.008856,(G37/INDEX(Matrices!$D$2:$D$17,C37))^(1/3),7.787*G37/INDEX(Matrices!$D$2:$D$17,C37)+16/116),"")</f>
        <v/>
      </c>
      <c r="Z37">
        <f>IF(AND(Report!$H$6&lt;&gt;"",COUNT(Spectra!$G$5:$G$40)&gt;0),116*X37-16,"")</f>
        <v/>
      </c>
      <c r="AA37">
        <f>IF(AND(Report!$H$6&lt;&gt;"",COUNT(Spectra!$G$5:$G$40)&gt;0),500*(W37-X37),"")</f>
        <v/>
      </c>
      <c r="AB37">
        <f>IF(AND(Report!$H$6&lt;&gt;"",COUNT(Spectra!$G$5:$G$40)&gt;0),200*(X37-Y37),"")</f>
        <v/>
      </c>
    </row>
    <row r="38">
      <c r="A38" t="n">
        <v>7</v>
      </c>
      <c r="B38" t="n">
        <v>1</v>
      </c>
      <c r="C38">
        <f>IF(AND(Report!$C$6&lt;&gt;"",COUNT(Spectra!$H$5:$H$40)&gt;0),MATCH(Report!$C$6,Matrices!$A$2:$A$17,0),"")</f>
        <v/>
      </c>
      <c r="D38">
        <f>IF(AND(Report!$C$6&lt;&gt;"",COUNT(Spectra!$H$5:$H$40)&gt;0),MATCH(Report!$C$6,Weights!$B$3:$AW$3,0),"")</f>
        <v/>
      </c>
      <c r="E38">
        <f>IF(AND(Report!$C$6&lt;&gt;"",COUNT(Spectra!$H$5:$H$40)&gt;0),SUMPRODUCT(Spectra!$H$5:$H$40,INDEX(Weights!$B$5:$AW$40,0,D38+0))/Spectra!$N$5,"")</f>
        <v/>
      </c>
      <c r="F38">
        <f>IF(AND(Report!$C$6&lt;&gt;"",COUNT(Spectra!$H$5:$H$40)&gt;0),SUMPRODUCT(Spectra!$H$5:$H$40,INDEX(Weights!$B$5:$AW$40,0,D38+1))/Spectra!$N$5,"")</f>
        <v/>
      </c>
      <c r="G38">
        <f>IF(AND(Report!$C$6&lt;&gt;"",COUNT(Spectra!$H$5:$H$40)&gt;0),SUMPRODUCT(Spectra!$H$5:$H$40,INDEX(Weights!$B$5:$AW$40,0,D38+2))/Spectra!$N$5,"")</f>
        <v/>
      </c>
      <c r="H38">
        <f>IF(AND(Report!$C$6&lt;&gt;"",COUNT(Spectra!$H$5:$H$40)&gt;0),INDEX(Matrices!$E$2:$E$17,C38)*E38+INDEX(Matrices!$F$2:$F$17,C38)*F38+INDEX(Matrices!$G$2:$G$17,C38)*G38,"")</f>
        <v/>
      </c>
      <c r="I38">
        <f>IF(AND(Report!$C$6&lt;&gt;"",COUNT(Spectra!$H$5:$H$40)&gt;0),INDEX(Matrices!$H$2:$H$17,C38)*E38+INDEX(Matrices!$I$2:$I$17,C38)*F38+INDEX(Matrices!$J$2:$J$17,C38)*G38,"")</f>
        <v/>
      </c>
      <c r="J38">
        <f>IF(AND(Report!$C$6&lt;&gt;"",COUNT(Spectra!$H$5:$H$40)&gt;0),INDEX(Matrices!$K$2:$K$17,C38)*E38+INDEX(Matrices!$L$2:$L$17,C38)*F38+INDEX(Matrices!$M$2:$M$17,C38)*G38,"")</f>
        <v/>
      </c>
      <c r="K38">
        <f>IF(AND(Report!$C$6&lt;&gt;"",COUNT(Spectra!$H$5:$H$40)&gt;0),SQRT(I38^2+J38^2),"")</f>
        <v/>
      </c>
      <c r="L38">
        <f>IF(AND(Report!$C$6&lt;&gt;"",COUNT(Spectra!$H$5:$H$40)&gt;0),IF(K38=0,0,MOD(DEGREES(ATAN2(I38,J38)),360)),"")</f>
        <v/>
      </c>
      <c r="M38">
        <f>IF(AND(Report!$C$6&lt;&gt;"",COUNT(Spectra!$H$5:$H$40)&gt;0),IF(H38/100&gt;(6/29)^3,(H38/100)^(1/3),(1/3)*(29/6)^2*H38/100+16/116)*116-16,"")</f>
        <v/>
      </c>
      <c r="N38">
        <f>IF(AND(Report!$C$6&lt;&gt;"",COUNT(Spectra!$H$5:$H$40)&gt;0),EXP(0.026742553710937*(M38-51.576165618406904))/0.45888671875,"")</f>
        <v/>
      </c>
      <c r="O38">
        <f>IF(AND(Report!$C$6&lt;&gt;"",COUNT(Spectra!$H$5:$H$40)&gt;0),K38/N38,"")</f>
        <v/>
      </c>
      <c r="P38">
        <f>IF(AND(Report!$C$6&lt;&gt;"",COUNT(Spectra!$H$5:$H$40)&gt;0),IF(AND(L38&gt;1,L38&lt;181),SIN(RADIANS(L38-1))^3,0)+IF(AND(L38&gt;104,L38&lt;284),0.39*COS(RADIANS(L38-14))^2,0),"")</f>
        <v/>
      </c>
      <c r="Q38">
        <f>IF(AND(Report!$C$6&lt;&gt;"",COUNT(Spectra!$H$5:$H$40)&gt;0),62*(P38+0.31),"")</f>
        <v/>
      </c>
      <c r="R38">
        <f>IF(AND(Report!$C$6&lt;&gt;"",COUNT(Spectra!$H$5:$H$40)&gt;0),0.36*(P38+0.19),"")</f>
        <v/>
      </c>
      <c r="S38">
        <f>IF(AND(Report!$C$6&lt;&gt;"",COUNT(Spectra!$H$5:$H$40)&gt;0),Q38*(LN(O38/80+R38)-LN(R38)),"")</f>
        <v/>
      </c>
      <c r="T38">
        <f>IF(AND(Report!$C$6&lt;&gt;"",COUNT(Spectra!$H$5:$H$40)&gt;0),M38,"")</f>
        <v/>
      </c>
      <c r="U38">
        <f>IF(AND(Report!$C$6&lt;&gt;"",COUNT(Spectra!$H$5:$H$40)&gt;0),S38*COS(RADIANS(L38)),"")</f>
        <v/>
      </c>
      <c r="V38">
        <f>IF(AND(Report!$C$6&lt;&gt;"",COUNT(Spectra!$H$5:$H$40)&gt;0),S38*SIN(RADIANS(L38)),"")</f>
        <v/>
      </c>
      <c r="W38">
        <f>IF(AND(Report!$C$6&lt;&gt;"",COUNT(Spectra!$H$5:$H$40)&gt;0),IF(E38/INDEX(Matrices!$B$2:$B$17,C38)&gt;0.008856,(E38/INDEX(Matrices!$B$2:$B$17,C38))^(1/3),7.787*E38/INDEX(Matrices!$B$2:$B$17,C38)+16/116),"")</f>
        <v/>
      </c>
      <c r="X38">
        <f>IF(AND(Report!$C$6&lt;&gt;"",COUNT(Spectra!$H$5:$H$40)&gt;0),IF(F38/INDEX(Matrices!$C$2:$C$17,C38)&gt;0.008856,(F38/INDEX(Matrices!$C$2:$C$17,C38))^(1/3),7.787*F38/INDEX(Matrices!$C$2:$C$17,C38)+16/116),"")</f>
        <v/>
      </c>
      <c r="Y38">
        <f>IF(AND(Report!$C$6&lt;&gt;"",COUNT(Spectra!$H$5:$H$40)&gt;0),IF(G38/INDEX(Matrices!$D$2:$D$17,C38)&gt;0.008856,(G38/INDEX(Matrices!$D$2:$D$17,C38))^(1/3),7.787*G38/INDEX(Matrices!$D$2:$D$17,C38)+16/116),"")</f>
        <v/>
      </c>
      <c r="Z38">
        <f>IF(AND(Report!$C$6&lt;&gt;"",COUNT(Spectra!$H$5:$H$40)&gt;0),116*X38-16,"")</f>
        <v/>
      </c>
      <c r="AA38">
        <f>IF(AND(Report!$C$6&lt;&gt;"",COUNT(Spectra!$H$5:$H$40)&gt;0),500*(W38-X38),"")</f>
        <v/>
      </c>
      <c r="AB38">
        <f>IF(AND(Report!$C$6&lt;&gt;"",COUNT(Spectra!$H$5:$H$40)&gt;0),200*(X38-Y38),"")</f>
        <v/>
      </c>
    </row>
    <row r="39">
      <c r="A39" t="n">
        <v>7</v>
      </c>
      <c r="B39" t="n">
        <v>2</v>
      </c>
      <c r="C39">
        <f>IF(AND(Report!$D$6&lt;&gt;"",COUNT(Spectra!$H$5:$H$40)&gt;0),MATCH(Report!$D$6,Matrices!$A$2:$A$17,0),"")</f>
        <v/>
      </c>
      <c r="D39">
        <f>IF(AND(Report!$D$6&lt;&gt;"",COUNT(Spectra!$H$5:$H$40)&gt;0),MATCH(Report!$D$6,Weights!$B$3:$AW$3,0),"")</f>
        <v/>
      </c>
      <c r="E39">
        <f>IF(AND(Report!$D$6&lt;&gt;"",COUNT(Spectra!$H$5:$H$40)&gt;0),SUMPRODUCT(Spectra!$H$5:$H$40,INDEX(Weights!$B$5:$AW$40,0,D39+0))/Spectra!$N$5,"")</f>
        <v/>
      </c>
      <c r="F39">
        <f>IF(AND(Report!$D$6&lt;&gt;"",COUNT(Spectra!$H$5:$H$40)&gt;0),SUMPRODUCT(Spectra!$H$5:$H$40,INDEX(Weights!$B$5:$AW$40,0,D39+1))/Spectra!$N$5,"")</f>
        <v/>
      </c>
      <c r="G39">
        <f>IF(AND(Report!$D$6&lt;&gt;"",COUNT(Spectra!$H$5:$H$40)&gt;0),SUMPRODUCT(Spectra!$H$5:$H$40,INDEX(Weights!$B$5:$AW$40,0,D39+2))/Spectra!$N$5,"")</f>
        <v/>
      </c>
      <c r="H39">
        <f>IF(AND(Report!$D$6&lt;&gt;"",COUNT(Spectra!$H$5:$H$40)&gt;0),INDEX(Matrices!$E$2:$E$17,C39)*E39+INDEX(Matrices!$F$2:$F$17,C39)*F39+INDEX(Matrices!$G$2:$G$17,C39)*G39,"")</f>
        <v/>
      </c>
      <c r="I39">
        <f>IF(AND(Report!$D$6&lt;&gt;"",COUNT(Spectra!$H$5:$H$40)&gt;0),INDEX(Matrices!$H$2:$H$17,C39)*E39+INDEX(Matrices!$I$2:$I$17,C39)*F39+INDEX(Matrices!$J$2:$J$17,C39)*G39,"")</f>
        <v/>
      </c>
      <c r="J39">
        <f>IF(AND(Report!$D$6&lt;&gt;"",COUNT(Spectra!$H$5:$H$40)&gt;0),INDEX(Matrices!$K$2:$K$17,C39)*E39+INDEX(Matrices!$L$2:$L$17,C39)*F39+INDEX(Matrices!$M$2:$M$17,C39)*G39,"")</f>
        <v/>
      </c>
      <c r="K39">
        <f>IF(AND(Report!$D$6&lt;&gt;"",COUNT(Spectra!$H$5:$H$40)&gt;0),SQRT(I39^2+J39^2),"")</f>
        <v/>
      </c>
      <c r="L39">
        <f>IF(AND(Report!$D$6&lt;&gt;"",COUNT(Spectra!$H$5:$H$40)&gt;0),IF(K39=0,0,MOD(DEGREES(ATAN2(I39,J39)),360)),"")</f>
        <v/>
      </c>
      <c r="M39">
        <f>IF(AND(Report!$D$6&lt;&gt;"",COUNT(Spectra!$H$5:$H$40)&gt;0),IF(H39/100&gt;(6/29)^3,(H39/100)^(1/3),(1/3)*(29/6)^2*H39/100+16/116)*116-16,"")</f>
        <v/>
      </c>
      <c r="N39">
        <f>IF(AND(Report!$D$6&lt;&gt;"",COUNT(Spectra!$H$5:$H$40)&gt;0),EXP(0.026742553710937*(M39-51.576165618406904))/0.45888671875,"")</f>
        <v/>
      </c>
      <c r="O39">
        <f>IF(AND(Report!$D$6&lt;&gt;"",COUNT(Spectra!$H$5:$H$40)&gt;0),K39/N39,"")</f>
        <v/>
      </c>
      <c r="P39">
        <f>IF(AND(Report!$D$6&lt;&gt;"",COUNT(Spectra!$H$5:$H$40)&gt;0),IF(AND(L39&gt;1,L39&lt;181),SIN(RADIANS(L39-1))^3,0)+IF(AND(L39&gt;104,L39&lt;284),0.39*COS(RADIANS(L39-14))^2,0),"")</f>
        <v/>
      </c>
      <c r="Q39">
        <f>IF(AND(Report!$D$6&lt;&gt;"",COUNT(Spectra!$H$5:$H$40)&gt;0),62*(P39+0.31),"")</f>
        <v/>
      </c>
      <c r="R39">
        <f>IF(AND(Report!$D$6&lt;&gt;"",COUNT(Spectra!$H$5:$H$40)&gt;0),0.36*(P39+0.19),"")</f>
        <v/>
      </c>
      <c r="S39">
        <f>IF(AND(Report!$D$6&lt;&gt;"",COUNT(Spectra!$H$5:$H$40)&gt;0),Q39*(LN(O39/80+R39)-LN(R39)),"")</f>
        <v/>
      </c>
      <c r="T39">
        <f>IF(AND(Report!$D$6&lt;&gt;"",COUNT(Spectra!$H$5:$H$40)&gt;0),M39,"")</f>
        <v/>
      </c>
      <c r="U39">
        <f>IF(AND(Report!$D$6&lt;&gt;"",COUNT(Spectra!$H$5:$H$40)&gt;0),S39*COS(RADIANS(L39)),"")</f>
        <v/>
      </c>
      <c r="V39">
        <f>IF(AND(Report!$D$6&lt;&gt;"",COUNT(Spectra!$H$5:$H$40)&gt;0),S39*SIN(RADIANS(L39)),"")</f>
        <v/>
      </c>
      <c r="W39">
        <f>IF(AND(Report!$D$6&lt;&gt;"",COUNT(Spectra!$H$5:$H$40)&gt;0),IF(E39/INDEX(Matrices!$B$2:$B$17,C39)&gt;0.008856,(E39/INDEX(Matrices!$B$2:$B$17,C39))^(1/3),7.787*E39/INDEX(Matrices!$B$2:$B$17,C39)+16/116),"")</f>
        <v/>
      </c>
      <c r="X39">
        <f>IF(AND(Report!$D$6&lt;&gt;"",COUNT(Spectra!$H$5:$H$40)&gt;0),IF(F39/INDEX(Matrices!$C$2:$C$17,C39)&gt;0.008856,(F39/INDEX(Matrices!$C$2:$C$17,C39))^(1/3),7.787*F39/INDEX(Matrices!$C$2:$C$17,C39)+16/116),"")</f>
        <v/>
      </c>
      <c r="Y39">
        <f>IF(AND(Report!$D$6&lt;&gt;"",COUNT(Spectra!$H$5:$H$40)&gt;0),IF(G39/INDEX(Matrices!$D$2:$D$17,C39)&gt;0.008856,(G39/INDEX(Matrices!$D$2:$D$17,C39))^(1/3),7.787*G39/INDEX(Matrices!$D$2:$D$17,C39)+16/116),"")</f>
        <v/>
      </c>
      <c r="Z39">
        <f>IF(AND(Report!$D$6&lt;&gt;"",COUNT(Spectra!$H$5:$H$40)&gt;0),116*X39-16,"")</f>
        <v/>
      </c>
      <c r="AA39">
        <f>IF(AND(Report!$D$6&lt;&gt;"",COUNT(Spectra!$H$5:$H$40)&gt;0),500*(W39-X39),"")</f>
        <v/>
      </c>
      <c r="AB39">
        <f>IF(AND(Report!$D$6&lt;&gt;"",COUNT(Spectra!$H$5:$H$40)&gt;0),200*(X39-Y39),"")</f>
        <v/>
      </c>
    </row>
    <row r="40">
      <c r="A40" t="n">
        <v>7</v>
      </c>
      <c r="B40" t="n">
        <v>3</v>
      </c>
      <c r="C40">
        <f>IF(AND(Report!$E$6&lt;&gt;"",COUNT(Spectra!$H$5:$H$40)&gt;0),MATCH(Report!$E$6,Matrices!$A$2:$A$17,0),"")</f>
        <v/>
      </c>
      <c r="D40">
        <f>IF(AND(Report!$E$6&lt;&gt;"",COUNT(Spectra!$H$5:$H$40)&gt;0),MATCH(Report!$E$6,Weights!$B$3:$AW$3,0),"")</f>
        <v/>
      </c>
      <c r="E40">
        <f>IF(AND(Report!$E$6&lt;&gt;"",COUNT(Spectra!$H$5:$H$40)&gt;0),SUMPRODUCT(Spectra!$H$5:$H$40,INDEX(Weights!$B$5:$AW$40,0,D40+0))/Spectra!$N$5,"")</f>
        <v/>
      </c>
      <c r="F40">
        <f>IF(AND(Report!$E$6&lt;&gt;"",COUNT(Spectra!$H$5:$H$40)&gt;0),SUMPRODUCT(Spectra!$H$5:$H$40,INDEX(Weights!$B$5:$AW$40,0,D40+1))/Spectra!$N$5,"")</f>
        <v/>
      </c>
      <c r="G40">
        <f>IF(AND(Report!$E$6&lt;&gt;"",COUNT(Spectra!$H$5:$H$40)&gt;0),SUMPRODUCT(Spectra!$H$5:$H$40,INDEX(Weights!$B$5:$AW$40,0,D40+2))/Spectra!$N$5,"")</f>
        <v/>
      </c>
      <c r="H40">
        <f>IF(AND(Report!$E$6&lt;&gt;"",COUNT(Spectra!$H$5:$H$40)&gt;0),INDEX(Matrices!$E$2:$E$17,C40)*E40+INDEX(Matrices!$F$2:$F$17,C40)*F40+INDEX(Matrices!$G$2:$G$17,C40)*G40,"")</f>
        <v/>
      </c>
      <c r="I40">
        <f>IF(AND(Report!$E$6&lt;&gt;"",COUNT(Spectra!$H$5:$H$40)&gt;0),INDEX(Matrices!$H$2:$H$17,C40)*E40+INDEX(Matrices!$I$2:$I$17,C40)*F40+INDEX(Matrices!$J$2:$J$17,C40)*G40,"")</f>
        <v/>
      </c>
      <c r="J40">
        <f>IF(AND(Report!$E$6&lt;&gt;"",COUNT(Spectra!$H$5:$H$40)&gt;0),INDEX(Matrices!$K$2:$K$17,C40)*E40+INDEX(Matrices!$L$2:$L$17,C40)*F40+INDEX(Matrices!$M$2:$M$17,C40)*G40,"")</f>
        <v/>
      </c>
      <c r="K40">
        <f>IF(AND(Report!$E$6&lt;&gt;"",COUNT(Spectra!$H$5:$H$40)&gt;0),SQRT(I40^2+J40^2),"")</f>
        <v/>
      </c>
      <c r="L40">
        <f>IF(AND(Report!$E$6&lt;&gt;"",COUNT(Spectra!$H$5:$H$40)&gt;0),IF(K40=0,0,MOD(DEGREES(ATAN2(I40,J40)),360)),"")</f>
        <v/>
      </c>
      <c r="M40">
        <f>IF(AND(Report!$E$6&lt;&gt;"",COUNT(Spectra!$H$5:$H$40)&gt;0),IF(H40/100&gt;(6/29)^3,(H40/100)^(1/3),(1/3)*(29/6)^2*H40/100+16/116)*116-16,"")</f>
        <v/>
      </c>
      <c r="N40">
        <f>IF(AND(Report!$E$6&lt;&gt;"",COUNT(Spectra!$H$5:$H$40)&gt;0),EXP(0.026742553710937*(M40-51.576165618406904))/0.45888671875,"")</f>
        <v/>
      </c>
      <c r="O40">
        <f>IF(AND(Report!$E$6&lt;&gt;"",COUNT(Spectra!$H$5:$H$40)&gt;0),K40/N40,"")</f>
        <v/>
      </c>
      <c r="P40">
        <f>IF(AND(Report!$E$6&lt;&gt;"",COUNT(Spectra!$H$5:$H$40)&gt;0),IF(AND(L40&gt;1,L40&lt;181),SIN(RADIANS(L40-1))^3,0)+IF(AND(L40&gt;104,L40&lt;284),0.39*COS(RADIANS(L40-14))^2,0),"")</f>
        <v/>
      </c>
      <c r="Q40">
        <f>IF(AND(Report!$E$6&lt;&gt;"",COUNT(Spectra!$H$5:$H$40)&gt;0),62*(P40+0.31),"")</f>
        <v/>
      </c>
      <c r="R40">
        <f>IF(AND(Report!$E$6&lt;&gt;"",COUNT(Spectra!$H$5:$H$40)&gt;0),0.36*(P40+0.19),"")</f>
        <v/>
      </c>
      <c r="S40">
        <f>IF(AND(Report!$E$6&lt;&gt;"",COUNT(Spectra!$H$5:$H$40)&gt;0),Q40*(LN(O40/80+R40)-LN(R40)),"")</f>
        <v/>
      </c>
      <c r="T40">
        <f>IF(AND(Report!$E$6&lt;&gt;"",COUNT(Spectra!$H$5:$H$40)&gt;0),M40,"")</f>
        <v/>
      </c>
      <c r="U40">
        <f>IF(AND(Report!$E$6&lt;&gt;"",COUNT(Spectra!$H$5:$H$40)&gt;0),S40*COS(RADIANS(L40)),"")</f>
        <v/>
      </c>
      <c r="V40">
        <f>IF(AND(Report!$E$6&lt;&gt;"",COUNT(Spectra!$H$5:$H$40)&gt;0),S40*SIN(RADIANS(L40)),"")</f>
        <v/>
      </c>
      <c r="W40">
        <f>IF(AND(Report!$E$6&lt;&gt;"",COUNT(Spectra!$H$5:$H$40)&gt;0),IF(E40/INDEX(Matrices!$B$2:$B$17,C40)&gt;0.008856,(E40/INDEX(Matrices!$B$2:$B$17,C40))^(1/3),7.787*E40/INDEX(Matrices!$B$2:$B$17,C40)+16/116),"")</f>
        <v/>
      </c>
      <c r="X40">
        <f>IF(AND(Report!$E$6&lt;&gt;"",COUNT(Spectra!$H$5:$H$40)&gt;0),IF(F40/INDEX(Matrices!$C$2:$C$17,C40)&gt;0.008856,(F40/INDEX(Matrices!$C$2:$C$17,C40))^(1/3),7.787*F40/INDEX(Matrices!$C$2:$C$17,C40)+16/116),"")</f>
        <v/>
      </c>
      <c r="Y40">
        <f>IF(AND(Report!$E$6&lt;&gt;"",COUNT(Spectra!$H$5:$H$40)&gt;0),IF(G40/INDEX(Matrices!$D$2:$D$17,C40)&gt;0.008856,(G40/INDEX(Matrices!$D$2:$D$17,C40))^(1/3),7.787*G40/INDEX(Matrices!$D$2:$D$17,C40)+16/116),"")</f>
        <v/>
      </c>
      <c r="Z40">
        <f>IF(AND(Report!$E$6&lt;&gt;"",COUNT(Spectra!$H$5:$H$40)&gt;0),116*X40-16,"")</f>
        <v/>
      </c>
      <c r="AA40">
        <f>IF(AND(Report!$E$6&lt;&gt;"",COUNT(Spectra!$H$5:$H$40)&gt;0),500*(W40-X40),"")</f>
        <v/>
      </c>
      <c r="AB40">
        <f>IF(AND(Report!$E$6&lt;&gt;"",COUNT(Spectra!$H$5:$H$40)&gt;0),200*(X40-Y40),"")</f>
        <v/>
      </c>
    </row>
    <row r="41">
      <c r="A41" t="n">
        <v>7</v>
      </c>
      <c r="B41" t="n">
        <v>4</v>
      </c>
      <c r="C41">
        <f>IF(AND(Report!$F$6&lt;&gt;"",COUNT(Spectra!$H$5:$H$40)&gt;0),MATCH(Report!$F$6,Matrices!$A$2:$A$17,0),"")</f>
        <v/>
      </c>
      <c r="D41">
        <f>IF(AND(Report!$F$6&lt;&gt;"",COUNT(Spectra!$H$5:$H$40)&gt;0),MATCH(Report!$F$6,Weights!$B$3:$AW$3,0),"")</f>
        <v/>
      </c>
      <c r="E41">
        <f>IF(AND(Report!$F$6&lt;&gt;"",COUNT(Spectra!$H$5:$H$40)&gt;0),SUMPRODUCT(Spectra!$H$5:$H$40,INDEX(Weights!$B$5:$AW$40,0,D41+0))/Spectra!$N$5,"")</f>
        <v/>
      </c>
      <c r="F41">
        <f>IF(AND(Report!$F$6&lt;&gt;"",COUNT(Spectra!$H$5:$H$40)&gt;0),SUMPRODUCT(Spectra!$H$5:$H$40,INDEX(Weights!$B$5:$AW$40,0,D41+1))/Spectra!$N$5,"")</f>
        <v/>
      </c>
      <c r="G41">
        <f>IF(AND(Report!$F$6&lt;&gt;"",COUNT(Spectra!$H$5:$H$40)&gt;0),SUMPRODUCT(Spectra!$H$5:$H$40,INDEX(Weights!$B$5:$AW$40,0,D41+2))/Spectra!$N$5,"")</f>
        <v/>
      </c>
      <c r="H41">
        <f>IF(AND(Report!$F$6&lt;&gt;"",COUNT(Spectra!$H$5:$H$40)&gt;0),INDEX(Matrices!$E$2:$E$17,C41)*E41+INDEX(Matrices!$F$2:$F$17,C41)*F41+INDEX(Matrices!$G$2:$G$17,C41)*G41,"")</f>
        <v/>
      </c>
      <c r="I41">
        <f>IF(AND(Report!$F$6&lt;&gt;"",COUNT(Spectra!$H$5:$H$40)&gt;0),INDEX(Matrices!$H$2:$H$17,C41)*E41+INDEX(Matrices!$I$2:$I$17,C41)*F41+INDEX(Matrices!$J$2:$J$17,C41)*G41,"")</f>
        <v/>
      </c>
      <c r="J41">
        <f>IF(AND(Report!$F$6&lt;&gt;"",COUNT(Spectra!$H$5:$H$40)&gt;0),INDEX(Matrices!$K$2:$K$17,C41)*E41+INDEX(Matrices!$L$2:$L$17,C41)*F41+INDEX(Matrices!$M$2:$M$17,C41)*G41,"")</f>
        <v/>
      </c>
      <c r="K41">
        <f>IF(AND(Report!$F$6&lt;&gt;"",COUNT(Spectra!$H$5:$H$40)&gt;0),SQRT(I41^2+J41^2),"")</f>
        <v/>
      </c>
      <c r="L41">
        <f>IF(AND(Report!$F$6&lt;&gt;"",COUNT(Spectra!$H$5:$H$40)&gt;0),IF(K41=0,0,MOD(DEGREES(ATAN2(I41,J41)),360)),"")</f>
        <v/>
      </c>
      <c r="M41">
        <f>IF(AND(Report!$F$6&lt;&gt;"",COUNT(Spectra!$H$5:$H$40)&gt;0),IF(H41/100&gt;(6/29)^3,(H41/100)^(1/3),(1/3)*(29/6)^2*H41/100+16/116)*116-16,"")</f>
        <v/>
      </c>
      <c r="N41">
        <f>IF(AND(Report!$F$6&lt;&gt;"",COUNT(Spectra!$H$5:$H$40)&gt;0),EXP(0.026742553710937*(M41-51.576165618406904))/0.45888671875,"")</f>
        <v/>
      </c>
      <c r="O41">
        <f>IF(AND(Report!$F$6&lt;&gt;"",COUNT(Spectra!$H$5:$H$40)&gt;0),K41/N41,"")</f>
        <v/>
      </c>
      <c r="P41">
        <f>IF(AND(Report!$F$6&lt;&gt;"",COUNT(Spectra!$H$5:$H$40)&gt;0),IF(AND(L41&gt;1,L41&lt;181),SIN(RADIANS(L41-1))^3,0)+IF(AND(L41&gt;104,L41&lt;284),0.39*COS(RADIANS(L41-14))^2,0),"")</f>
        <v/>
      </c>
      <c r="Q41">
        <f>IF(AND(Report!$F$6&lt;&gt;"",COUNT(Spectra!$H$5:$H$40)&gt;0),62*(P41+0.31),"")</f>
        <v/>
      </c>
      <c r="R41">
        <f>IF(AND(Report!$F$6&lt;&gt;"",COUNT(Spectra!$H$5:$H$40)&gt;0),0.36*(P41+0.19),"")</f>
        <v/>
      </c>
      <c r="S41">
        <f>IF(AND(Report!$F$6&lt;&gt;"",COUNT(Spectra!$H$5:$H$40)&gt;0),Q41*(LN(O41/80+R41)-LN(R41)),"")</f>
        <v/>
      </c>
      <c r="T41">
        <f>IF(AND(Report!$F$6&lt;&gt;"",COUNT(Spectra!$H$5:$H$40)&gt;0),M41,"")</f>
        <v/>
      </c>
      <c r="U41">
        <f>IF(AND(Report!$F$6&lt;&gt;"",COUNT(Spectra!$H$5:$H$40)&gt;0),S41*COS(RADIANS(L41)),"")</f>
        <v/>
      </c>
      <c r="V41">
        <f>IF(AND(Report!$F$6&lt;&gt;"",COUNT(Spectra!$H$5:$H$40)&gt;0),S41*SIN(RADIANS(L41)),"")</f>
        <v/>
      </c>
      <c r="W41">
        <f>IF(AND(Report!$F$6&lt;&gt;"",COUNT(Spectra!$H$5:$H$40)&gt;0),IF(E41/INDEX(Matrices!$B$2:$B$17,C41)&gt;0.008856,(E41/INDEX(Matrices!$B$2:$B$17,C41))^(1/3),7.787*E41/INDEX(Matrices!$B$2:$B$17,C41)+16/116),"")</f>
        <v/>
      </c>
      <c r="X41">
        <f>IF(AND(Report!$F$6&lt;&gt;"",COUNT(Spectra!$H$5:$H$40)&gt;0),IF(F41/INDEX(Matrices!$C$2:$C$17,C41)&gt;0.008856,(F41/INDEX(Matrices!$C$2:$C$17,C41))^(1/3),7.787*F41/INDEX(Matrices!$C$2:$C$17,C41)+16/116),"")</f>
        <v/>
      </c>
      <c r="Y41">
        <f>IF(AND(Report!$F$6&lt;&gt;"",COUNT(Spectra!$H$5:$H$40)&gt;0),IF(G41/INDEX(Matrices!$D$2:$D$17,C41)&gt;0.008856,(G41/INDEX(Matrices!$D$2:$D$17,C41))^(1/3),7.787*G41/INDEX(Matrices!$D$2:$D$17,C41)+16/116),"")</f>
        <v/>
      </c>
      <c r="Z41">
        <f>IF(AND(Report!$F$6&lt;&gt;"",COUNT(Spectra!$H$5:$H$40)&gt;0),116*X41-16,"")</f>
        <v/>
      </c>
      <c r="AA41">
        <f>IF(AND(Report!$F$6&lt;&gt;"",COUNT(Spectra!$H$5:$H$40)&gt;0),500*(W41-X41),"")</f>
        <v/>
      </c>
      <c r="AB41">
        <f>IF(AND(Report!$F$6&lt;&gt;"",COUNT(Spectra!$H$5:$H$40)&gt;0),200*(X41-Y41),"")</f>
        <v/>
      </c>
    </row>
    <row r="42">
      <c r="A42" t="n">
        <v>7</v>
      </c>
      <c r="B42" t="n">
        <v>5</v>
      </c>
      <c r="C42">
        <f>IF(AND(Report!$G$6&lt;&gt;"",COUNT(Spectra!$H$5:$H$40)&gt;0),MATCH(Report!$G$6,Matrices!$A$2:$A$17,0),"")</f>
        <v/>
      </c>
      <c r="D42">
        <f>IF(AND(Report!$G$6&lt;&gt;"",COUNT(Spectra!$H$5:$H$40)&gt;0),MATCH(Report!$G$6,Weights!$B$3:$AW$3,0),"")</f>
        <v/>
      </c>
      <c r="E42">
        <f>IF(AND(Report!$G$6&lt;&gt;"",COUNT(Spectra!$H$5:$H$40)&gt;0),SUMPRODUCT(Spectra!$H$5:$H$40,INDEX(Weights!$B$5:$AW$40,0,D42+0))/Spectra!$N$5,"")</f>
        <v/>
      </c>
      <c r="F42">
        <f>IF(AND(Report!$G$6&lt;&gt;"",COUNT(Spectra!$H$5:$H$40)&gt;0),SUMPRODUCT(Spectra!$H$5:$H$40,INDEX(Weights!$B$5:$AW$40,0,D42+1))/Spectra!$N$5,"")</f>
        <v/>
      </c>
      <c r="G42">
        <f>IF(AND(Report!$G$6&lt;&gt;"",COUNT(Spectra!$H$5:$H$40)&gt;0),SUMPRODUCT(Spectra!$H$5:$H$40,INDEX(Weights!$B$5:$AW$40,0,D42+2))/Spectra!$N$5,"")</f>
        <v/>
      </c>
      <c r="H42">
        <f>IF(AND(Report!$G$6&lt;&gt;"",COUNT(Spectra!$H$5:$H$40)&gt;0),INDEX(Matrices!$E$2:$E$17,C42)*E42+INDEX(Matrices!$F$2:$F$17,C42)*F42+INDEX(Matrices!$G$2:$G$17,C42)*G42,"")</f>
        <v/>
      </c>
      <c r="I42">
        <f>IF(AND(Report!$G$6&lt;&gt;"",COUNT(Spectra!$H$5:$H$40)&gt;0),INDEX(Matrices!$H$2:$H$17,C42)*E42+INDEX(Matrices!$I$2:$I$17,C42)*F42+INDEX(Matrices!$J$2:$J$17,C42)*G42,"")</f>
        <v/>
      </c>
      <c r="J42">
        <f>IF(AND(Report!$G$6&lt;&gt;"",COUNT(Spectra!$H$5:$H$40)&gt;0),INDEX(Matrices!$K$2:$K$17,C42)*E42+INDEX(Matrices!$L$2:$L$17,C42)*F42+INDEX(Matrices!$M$2:$M$17,C42)*G42,"")</f>
        <v/>
      </c>
      <c r="K42">
        <f>IF(AND(Report!$G$6&lt;&gt;"",COUNT(Spectra!$H$5:$H$40)&gt;0),SQRT(I42^2+J42^2),"")</f>
        <v/>
      </c>
      <c r="L42">
        <f>IF(AND(Report!$G$6&lt;&gt;"",COUNT(Spectra!$H$5:$H$40)&gt;0),IF(K42=0,0,MOD(DEGREES(ATAN2(I42,J42)),360)),"")</f>
        <v/>
      </c>
      <c r="M42">
        <f>IF(AND(Report!$G$6&lt;&gt;"",COUNT(Spectra!$H$5:$H$40)&gt;0),IF(H42/100&gt;(6/29)^3,(H42/100)^(1/3),(1/3)*(29/6)^2*H42/100+16/116)*116-16,"")</f>
        <v/>
      </c>
      <c r="N42">
        <f>IF(AND(Report!$G$6&lt;&gt;"",COUNT(Spectra!$H$5:$H$40)&gt;0),EXP(0.026742553710937*(M42-51.576165618406904))/0.45888671875,"")</f>
        <v/>
      </c>
      <c r="O42">
        <f>IF(AND(Report!$G$6&lt;&gt;"",COUNT(Spectra!$H$5:$H$40)&gt;0),K42/N42,"")</f>
        <v/>
      </c>
      <c r="P42">
        <f>IF(AND(Report!$G$6&lt;&gt;"",COUNT(Spectra!$H$5:$H$40)&gt;0),IF(AND(L42&gt;1,L42&lt;181),SIN(RADIANS(L42-1))^3,0)+IF(AND(L42&gt;104,L42&lt;284),0.39*COS(RADIANS(L42-14))^2,0),"")</f>
        <v/>
      </c>
      <c r="Q42">
        <f>IF(AND(Report!$G$6&lt;&gt;"",COUNT(Spectra!$H$5:$H$40)&gt;0),62*(P42+0.31),"")</f>
        <v/>
      </c>
      <c r="R42">
        <f>IF(AND(Report!$G$6&lt;&gt;"",COUNT(Spectra!$H$5:$H$40)&gt;0),0.36*(P42+0.19),"")</f>
        <v/>
      </c>
      <c r="S42">
        <f>IF(AND(Report!$G$6&lt;&gt;"",COUNT(Spectra!$H$5:$H$40)&gt;0),Q42*(LN(O42/80+R42)-LN(R42)),"")</f>
        <v/>
      </c>
      <c r="T42">
        <f>IF(AND(Report!$G$6&lt;&gt;"",COUNT(Spectra!$H$5:$H$40)&gt;0),M42,"")</f>
        <v/>
      </c>
      <c r="U42">
        <f>IF(AND(Report!$G$6&lt;&gt;"",COUNT(Spectra!$H$5:$H$40)&gt;0),S42*COS(RADIANS(L42)),"")</f>
        <v/>
      </c>
      <c r="V42">
        <f>IF(AND(Report!$G$6&lt;&gt;"",COUNT(Spectra!$H$5:$H$40)&gt;0),S42*SIN(RADIANS(L42)),"")</f>
        <v/>
      </c>
      <c r="W42">
        <f>IF(AND(Report!$G$6&lt;&gt;"",COUNT(Spectra!$H$5:$H$40)&gt;0),IF(E42/INDEX(Matrices!$B$2:$B$17,C42)&gt;0.008856,(E42/INDEX(Matrices!$B$2:$B$17,C42))^(1/3),7.787*E42/INDEX(Matrices!$B$2:$B$17,C42)+16/116),"")</f>
        <v/>
      </c>
      <c r="X42">
        <f>IF(AND(Report!$G$6&lt;&gt;"",COUNT(Spectra!$H$5:$H$40)&gt;0),IF(F42/INDEX(Matrices!$C$2:$C$17,C42)&gt;0.008856,(F42/INDEX(Matrices!$C$2:$C$17,C42))^(1/3),7.787*F42/INDEX(Matrices!$C$2:$C$17,C42)+16/116),"")</f>
        <v/>
      </c>
      <c r="Y42">
        <f>IF(AND(Report!$G$6&lt;&gt;"",COUNT(Spectra!$H$5:$H$40)&gt;0),IF(G42/INDEX(Matrices!$D$2:$D$17,C42)&gt;0.008856,(G42/INDEX(Matrices!$D$2:$D$17,C42))^(1/3),7.787*G42/INDEX(Matrices!$D$2:$D$17,C42)+16/116),"")</f>
        <v/>
      </c>
      <c r="Z42">
        <f>IF(AND(Report!$G$6&lt;&gt;"",COUNT(Spectra!$H$5:$H$40)&gt;0),116*X42-16,"")</f>
        <v/>
      </c>
      <c r="AA42">
        <f>IF(AND(Report!$G$6&lt;&gt;"",COUNT(Spectra!$H$5:$H$40)&gt;0),500*(W42-X42),"")</f>
        <v/>
      </c>
      <c r="AB42">
        <f>IF(AND(Report!$G$6&lt;&gt;"",COUNT(Spectra!$H$5:$H$40)&gt;0),200*(X42-Y42),"")</f>
        <v/>
      </c>
    </row>
    <row r="43">
      <c r="A43" t="n">
        <v>7</v>
      </c>
      <c r="B43" t="n">
        <v>6</v>
      </c>
      <c r="C43">
        <f>IF(AND(Report!$H$6&lt;&gt;"",COUNT(Spectra!$H$5:$H$40)&gt;0),MATCH(Report!$H$6,Matrices!$A$2:$A$17,0),"")</f>
        <v/>
      </c>
      <c r="D43">
        <f>IF(AND(Report!$H$6&lt;&gt;"",COUNT(Spectra!$H$5:$H$40)&gt;0),MATCH(Report!$H$6,Weights!$B$3:$AW$3,0),"")</f>
        <v/>
      </c>
      <c r="E43">
        <f>IF(AND(Report!$H$6&lt;&gt;"",COUNT(Spectra!$H$5:$H$40)&gt;0),SUMPRODUCT(Spectra!$H$5:$H$40,INDEX(Weights!$B$5:$AW$40,0,D43+0))/Spectra!$N$5,"")</f>
        <v/>
      </c>
      <c r="F43">
        <f>IF(AND(Report!$H$6&lt;&gt;"",COUNT(Spectra!$H$5:$H$40)&gt;0),SUMPRODUCT(Spectra!$H$5:$H$40,INDEX(Weights!$B$5:$AW$40,0,D43+1))/Spectra!$N$5,"")</f>
        <v/>
      </c>
      <c r="G43">
        <f>IF(AND(Report!$H$6&lt;&gt;"",COUNT(Spectra!$H$5:$H$40)&gt;0),SUMPRODUCT(Spectra!$H$5:$H$40,INDEX(Weights!$B$5:$AW$40,0,D43+2))/Spectra!$N$5,"")</f>
        <v/>
      </c>
      <c r="H43">
        <f>IF(AND(Report!$H$6&lt;&gt;"",COUNT(Spectra!$H$5:$H$40)&gt;0),INDEX(Matrices!$E$2:$E$17,C43)*E43+INDEX(Matrices!$F$2:$F$17,C43)*F43+INDEX(Matrices!$G$2:$G$17,C43)*G43,"")</f>
        <v/>
      </c>
      <c r="I43">
        <f>IF(AND(Report!$H$6&lt;&gt;"",COUNT(Spectra!$H$5:$H$40)&gt;0),INDEX(Matrices!$H$2:$H$17,C43)*E43+INDEX(Matrices!$I$2:$I$17,C43)*F43+INDEX(Matrices!$J$2:$J$17,C43)*G43,"")</f>
        <v/>
      </c>
      <c r="J43">
        <f>IF(AND(Report!$H$6&lt;&gt;"",COUNT(Spectra!$H$5:$H$40)&gt;0),INDEX(Matrices!$K$2:$K$17,C43)*E43+INDEX(Matrices!$L$2:$L$17,C43)*F43+INDEX(Matrices!$M$2:$M$17,C43)*G43,"")</f>
        <v/>
      </c>
      <c r="K43">
        <f>IF(AND(Report!$H$6&lt;&gt;"",COUNT(Spectra!$H$5:$H$40)&gt;0),SQRT(I43^2+J43^2),"")</f>
        <v/>
      </c>
      <c r="L43">
        <f>IF(AND(Report!$H$6&lt;&gt;"",COUNT(Spectra!$H$5:$H$40)&gt;0),IF(K43=0,0,MOD(DEGREES(ATAN2(I43,J43)),360)),"")</f>
        <v/>
      </c>
      <c r="M43">
        <f>IF(AND(Report!$H$6&lt;&gt;"",COUNT(Spectra!$H$5:$H$40)&gt;0),IF(H43/100&gt;(6/29)^3,(H43/100)^(1/3),(1/3)*(29/6)^2*H43/100+16/116)*116-16,"")</f>
        <v/>
      </c>
      <c r="N43">
        <f>IF(AND(Report!$H$6&lt;&gt;"",COUNT(Spectra!$H$5:$H$40)&gt;0),EXP(0.026742553710937*(M43-51.576165618406904))/0.45888671875,"")</f>
        <v/>
      </c>
      <c r="O43">
        <f>IF(AND(Report!$H$6&lt;&gt;"",COUNT(Spectra!$H$5:$H$40)&gt;0),K43/N43,"")</f>
        <v/>
      </c>
      <c r="P43">
        <f>IF(AND(Report!$H$6&lt;&gt;"",COUNT(Spectra!$H$5:$H$40)&gt;0),IF(AND(L43&gt;1,L43&lt;181),SIN(RADIANS(L43-1))^3,0)+IF(AND(L43&gt;104,L43&lt;284),0.39*COS(RADIANS(L43-14))^2,0),"")</f>
        <v/>
      </c>
      <c r="Q43">
        <f>IF(AND(Report!$H$6&lt;&gt;"",COUNT(Spectra!$H$5:$H$40)&gt;0),62*(P43+0.31),"")</f>
        <v/>
      </c>
      <c r="R43">
        <f>IF(AND(Report!$H$6&lt;&gt;"",COUNT(Spectra!$H$5:$H$40)&gt;0),0.36*(P43+0.19),"")</f>
        <v/>
      </c>
      <c r="S43">
        <f>IF(AND(Report!$H$6&lt;&gt;"",COUNT(Spectra!$H$5:$H$40)&gt;0),Q43*(LN(O43/80+R43)-LN(R43)),"")</f>
        <v/>
      </c>
      <c r="T43">
        <f>IF(AND(Report!$H$6&lt;&gt;"",COUNT(Spectra!$H$5:$H$40)&gt;0),M43,"")</f>
        <v/>
      </c>
      <c r="U43">
        <f>IF(AND(Report!$H$6&lt;&gt;"",COUNT(Spectra!$H$5:$H$40)&gt;0),S43*COS(RADIANS(L43)),"")</f>
        <v/>
      </c>
      <c r="V43">
        <f>IF(AND(Report!$H$6&lt;&gt;"",COUNT(Spectra!$H$5:$H$40)&gt;0),S43*SIN(RADIANS(L43)),"")</f>
        <v/>
      </c>
      <c r="W43">
        <f>IF(AND(Report!$H$6&lt;&gt;"",COUNT(Spectra!$H$5:$H$40)&gt;0),IF(E43/INDEX(Matrices!$B$2:$B$17,C43)&gt;0.008856,(E43/INDEX(Matrices!$B$2:$B$17,C43))^(1/3),7.787*E43/INDEX(Matrices!$B$2:$B$17,C43)+16/116),"")</f>
        <v/>
      </c>
      <c r="X43">
        <f>IF(AND(Report!$H$6&lt;&gt;"",COUNT(Spectra!$H$5:$H$40)&gt;0),IF(F43/INDEX(Matrices!$C$2:$C$17,C43)&gt;0.008856,(F43/INDEX(Matrices!$C$2:$C$17,C43))^(1/3),7.787*F43/INDEX(Matrices!$C$2:$C$17,C43)+16/116),"")</f>
        <v/>
      </c>
      <c r="Y43">
        <f>IF(AND(Report!$H$6&lt;&gt;"",COUNT(Spectra!$H$5:$H$40)&gt;0),IF(G43/INDEX(Matrices!$D$2:$D$17,C43)&gt;0.008856,(G43/INDEX(Matrices!$D$2:$D$17,C43))^(1/3),7.787*G43/INDEX(Matrices!$D$2:$D$17,C43)+16/116),"")</f>
        <v/>
      </c>
      <c r="Z43">
        <f>IF(AND(Report!$H$6&lt;&gt;"",COUNT(Spectra!$H$5:$H$40)&gt;0),116*X43-16,"")</f>
        <v/>
      </c>
      <c r="AA43">
        <f>IF(AND(Report!$H$6&lt;&gt;"",COUNT(Spectra!$H$5:$H$40)&gt;0),500*(W43-X43),"")</f>
        <v/>
      </c>
      <c r="AB43">
        <f>IF(AND(Report!$H$6&lt;&gt;"",COUNT(Spectra!$H$5:$H$40)&gt;0),200*(X43-Y43),"")</f>
        <v/>
      </c>
    </row>
    <row r="44">
      <c r="A44" t="n">
        <v>8</v>
      </c>
      <c r="B44" t="n">
        <v>1</v>
      </c>
      <c r="C44">
        <f>IF(AND(Report!$C$6&lt;&gt;"",COUNT(Spectra!$I$5:$I$40)&gt;0),MATCH(Report!$C$6,Matrices!$A$2:$A$17,0),"")</f>
        <v/>
      </c>
      <c r="D44">
        <f>IF(AND(Report!$C$6&lt;&gt;"",COUNT(Spectra!$I$5:$I$40)&gt;0),MATCH(Report!$C$6,Weights!$B$3:$AW$3,0),"")</f>
        <v/>
      </c>
      <c r="E44">
        <f>IF(AND(Report!$C$6&lt;&gt;"",COUNT(Spectra!$I$5:$I$40)&gt;0),SUMPRODUCT(Spectra!$I$5:$I$40,INDEX(Weights!$B$5:$AW$40,0,D44+0))/Spectra!$N$5,"")</f>
        <v/>
      </c>
      <c r="F44">
        <f>IF(AND(Report!$C$6&lt;&gt;"",COUNT(Spectra!$I$5:$I$40)&gt;0),SUMPRODUCT(Spectra!$I$5:$I$40,INDEX(Weights!$B$5:$AW$40,0,D44+1))/Spectra!$N$5,"")</f>
        <v/>
      </c>
      <c r="G44">
        <f>IF(AND(Report!$C$6&lt;&gt;"",COUNT(Spectra!$I$5:$I$40)&gt;0),SUMPRODUCT(Spectra!$I$5:$I$40,INDEX(Weights!$B$5:$AW$40,0,D44+2))/Spectra!$N$5,"")</f>
        <v/>
      </c>
      <c r="H44">
        <f>IF(AND(Report!$C$6&lt;&gt;"",COUNT(Spectra!$I$5:$I$40)&gt;0),INDEX(Matrices!$E$2:$E$17,C44)*E44+INDEX(Matrices!$F$2:$F$17,C44)*F44+INDEX(Matrices!$G$2:$G$17,C44)*G44,"")</f>
        <v/>
      </c>
      <c r="I44">
        <f>IF(AND(Report!$C$6&lt;&gt;"",COUNT(Spectra!$I$5:$I$40)&gt;0),INDEX(Matrices!$H$2:$H$17,C44)*E44+INDEX(Matrices!$I$2:$I$17,C44)*F44+INDEX(Matrices!$J$2:$J$17,C44)*G44,"")</f>
        <v/>
      </c>
      <c r="J44">
        <f>IF(AND(Report!$C$6&lt;&gt;"",COUNT(Spectra!$I$5:$I$40)&gt;0),INDEX(Matrices!$K$2:$K$17,C44)*E44+INDEX(Matrices!$L$2:$L$17,C44)*F44+INDEX(Matrices!$M$2:$M$17,C44)*G44,"")</f>
        <v/>
      </c>
      <c r="K44">
        <f>IF(AND(Report!$C$6&lt;&gt;"",COUNT(Spectra!$I$5:$I$40)&gt;0),SQRT(I44^2+J44^2),"")</f>
        <v/>
      </c>
      <c r="L44">
        <f>IF(AND(Report!$C$6&lt;&gt;"",COUNT(Spectra!$I$5:$I$40)&gt;0),IF(K44=0,0,MOD(DEGREES(ATAN2(I44,J44)),360)),"")</f>
        <v/>
      </c>
      <c r="M44">
        <f>IF(AND(Report!$C$6&lt;&gt;"",COUNT(Spectra!$I$5:$I$40)&gt;0),IF(H44/100&gt;(6/29)^3,(H44/100)^(1/3),(1/3)*(29/6)^2*H44/100+16/116)*116-16,"")</f>
        <v/>
      </c>
      <c r="N44">
        <f>IF(AND(Report!$C$6&lt;&gt;"",COUNT(Spectra!$I$5:$I$40)&gt;0),EXP(0.026742553710937*(M44-51.576165618406904))/0.45888671875,"")</f>
        <v/>
      </c>
      <c r="O44">
        <f>IF(AND(Report!$C$6&lt;&gt;"",COUNT(Spectra!$I$5:$I$40)&gt;0),K44/N44,"")</f>
        <v/>
      </c>
      <c r="P44">
        <f>IF(AND(Report!$C$6&lt;&gt;"",COUNT(Spectra!$I$5:$I$40)&gt;0),IF(AND(L44&gt;1,L44&lt;181),SIN(RADIANS(L44-1))^3,0)+IF(AND(L44&gt;104,L44&lt;284),0.39*COS(RADIANS(L44-14))^2,0),"")</f>
        <v/>
      </c>
      <c r="Q44">
        <f>IF(AND(Report!$C$6&lt;&gt;"",COUNT(Spectra!$I$5:$I$40)&gt;0),62*(P44+0.31),"")</f>
        <v/>
      </c>
      <c r="R44">
        <f>IF(AND(Report!$C$6&lt;&gt;"",COUNT(Spectra!$I$5:$I$40)&gt;0),0.36*(P44+0.19),"")</f>
        <v/>
      </c>
      <c r="S44">
        <f>IF(AND(Report!$C$6&lt;&gt;"",COUNT(Spectra!$I$5:$I$40)&gt;0),Q44*(LN(O44/80+R44)-LN(R44)),"")</f>
        <v/>
      </c>
      <c r="T44">
        <f>IF(AND(Report!$C$6&lt;&gt;"",COUNT(Spectra!$I$5:$I$40)&gt;0),M44,"")</f>
        <v/>
      </c>
      <c r="U44">
        <f>IF(AND(Report!$C$6&lt;&gt;"",COUNT(Spectra!$I$5:$I$40)&gt;0),S44*COS(RADIANS(L44)),"")</f>
        <v/>
      </c>
      <c r="V44">
        <f>IF(AND(Report!$C$6&lt;&gt;"",COUNT(Spectra!$I$5:$I$40)&gt;0),S44*SIN(RADIANS(L44)),"")</f>
        <v/>
      </c>
      <c r="W44">
        <f>IF(AND(Report!$C$6&lt;&gt;"",COUNT(Spectra!$I$5:$I$40)&gt;0),IF(E44/INDEX(Matrices!$B$2:$B$17,C44)&gt;0.008856,(E44/INDEX(Matrices!$B$2:$B$17,C44))^(1/3),7.787*E44/INDEX(Matrices!$B$2:$B$17,C44)+16/116),"")</f>
        <v/>
      </c>
      <c r="X44">
        <f>IF(AND(Report!$C$6&lt;&gt;"",COUNT(Spectra!$I$5:$I$40)&gt;0),IF(F44/INDEX(Matrices!$C$2:$C$17,C44)&gt;0.008856,(F44/INDEX(Matrices!$C$2:$C$17,C44))^(1/3),7.787*F44/INDEX(Matrices!$C$2:$C$17,C44)+16/116),"")</f>
        <v/>
      </c>
      <c r="Y44">
        <f>IF(AND(Report!$C$6&lt;&gt;"",COUNT(Spectra!$I$5:$I$40)&gt;0),IF(G44/INDEX(Matrices!$D$2:$D$17,C44)&gt;0.008856,(G44/INDEX(Matrices!$D$2:$D$17,C44))^(1/3),7.787*G44/INDEX(Matrices!$D$2:$D$17,C44)+16/116),"")</f>
        <v/>
      </c>
      <c r="Z44">
        <f>IF(AND(Report!$C$6&lt;&gt;"",COUNT(Spectra!$I$5:$I$40)&gt;0),116*X44-16,"")</f>
        <v/>
      </c>
      <c r="AA44">
        <f>IF(AND(Report!$C$6&lt;&gt;"",COUNT(Spectra!$I$5:$I$40)&gt;0),500*(W44-X44),"")</f>
        <v/>
      </c>
      <c r="AB44">
        <f>IF(AND(Report!$C$6&lt;&gt;"",COUNT(Spectra!$I$5:$I$40)&gt;0),200*(X44-Y44),"")</f>
        <v/>
      </c>
    </row>
    <row r="45">
      <c r="A45" t="n">
        <v>8</v>
      </c>
      <c r="B45" t="n">
        <v>2</v>
      </c>
      <c r="C45">
        <f>IF(AND(Report!$D$6&lt;&gt;"",COUNT(Spectra!$I$5:$I$40)&gt;0),MATCH(Report!$D$6,Matrices!$A$2:$A$17,0),"")</f>
        <v/>
      </c>
      <c r="D45">
        <f>IF(AND(Report!$D$6&lt;&gt;"",COUNT(Spectra!$I$5:$I$40)&gt;0),MATCH(Report!$D$6,Weights!$B$3:$AW$3,0),"")</f>
        <v/>
      </c>
      <c r="E45">
        <f>IF(AND(Report!$D$6&lt;&gt;"",COUNT(Spectra!$I$5:$I$40)&gt;0),SUMPRODUCT(Spectra!$I$5:$I$40,INDEX(Weights!$B$5:$AW$40,0,D45+0))/Spectra!$N$5,"")</f>
        <v/>
      </c>
      <c r="F45">
        <f>IF(AND(Report!$D$6&lt;&gt;"",COUNT(Spectra!$I$5:$I$40)&gt;0),SUMPRODUCT(Spectra!$I$5:$I$40,INDEX(Weights!$B$5:$AW$40,0,D45+1))/Spectra!$N$5,"")</f>
        <v/>
      </c>
      <c r="G45">
        <f>IF(AND(Report!$D$6&lt;&gt;"",COUNT(Spectra!$I$5:$I$40)&gt;0),SUMPRODUCT(Spectra!$I$5:$I$40,INDEX(Weights!$B$5:$AW$40,0,D45+2))/Spectra!$N$5,"")</f>
        <v/>
      </c>
      <c r="H45">
        <f>IF(AND(Report!$D$6&lt;&gt;"",COUNT(Spectra!$I$5:$I$40)&gt;0),INDEX(Matrices!$E$2:$E$17,C45)*E45+INDEX(Matrices!$F$2:$F$17,C45)*F45+INDEX(Matrices!$G$2:$G$17,C45)*G45,"")</f>
        <v/>
      </c>
      <c r="I45">
        <f>IF(AND(Report!$D$6&lt;&gt;"",COUNT(Spectra!$I$5:$I$40)&gt;0),INDEX(Matrices!$H$2:$H$17,C45)*E45+INDEX(Matrices!$I$2:$I$17,C45)*F45+INDEX(Matrices!$J$2:$J$17,C45)*G45,"")</f>
        <v/>
      </c>
      <c r="J45">
        <f>IF(AND(Report!$D$6&lt;&gt;"",COUNT(Spectra!$I$5:$I$40)&gt;0),INDEX(Matrices!$K$2:$K$17,C45)*E45+INDEX(Matrices!$L$2:$L$17,C45)*F45+INDEX(Matrices!$M$2:$M$17,C45)*G45,"")</f>
        <v/>
      </c>
      <c r="K45">
        <f>IF(AND(Report!$D$6&lt;&gt;"",COUNT(Spectra!$I$5:$I$40)&gt;0),SQRT(I45^2+J45^2),"")</f>
        <v/>
      </c>
      <c r="L45">
        <f>IF(AND(Report!$D$6&lt;&gt;"",COUNT(Spectra!$I$5:$I$40)&gt;0),IF(K45=0,0,MOD(DEGREES(ATAN2(I45,J45)),360)),"")</f>
        <v/>
      </c>
      <c r="M45">
        <f>IF(AND(Report!$D$6&lt;&gt;"",COUNT(Spectra!$I$5:$I$40)&gt;0),IF(H45/100&gt;(6/29)^3,(H45/100)^(1/3),(1/3)*(29/6)^2*H45/100+16/116)*116-16,"")</f>
        <v/>
      </c>
      <c r="N45">
        <f>IF(AND(Report!$D$6&lt;&gt;"",COUNT(Spectra!$I$5:$I$40)&gt;0),EXP(0.026742553710937*(M45-51.576165618406904))/0.45888671875,"")</f>
        <v/>
      </c>
      <c r="O45">
        <f>IF(AND(Report!$D$6&lt;&gt;"",COUNT(Spectra!$I$5:$I$40)&gt;0),K45/N45,"")</f>
        <v/>
      </c>
      <c r="P45">
        <f>IF(AND(Report!$D$6&lt;&gt;"",COUNT(Spectra!$I$5:$I$40)&gt;0),IF(AND(L45&gt;1,L45&lt;181),SIN(RADIANS(L45-1))^3,0)+IF(AND(L45&gt;104,L45&lt;284),0.39*COS(RADIANS(L45-14))^2,0),"")</f>
        <v/>
      </c>
      <c r="Q45">
        <f>IF(AND(Report!$D$6&lt;&gt;"",COUNT(Spectra!$I$5:$I$40)&gt;0),62*(P45+0.31),"")</f>
        <v/>
      </c>
      <c r="R45">
        <f>IF(AND(Report!$D$6&lt;&gt;"",COUNT(Spectra!$I$5:$I$40)&gt;0),0.36*(P45+0.19),"")</f>
        <v/>
      </c>
      <c r="S45">
        <f>IF(AND(Report!$D$6&lt;&gt;"",COUNT(Spectra!$I$5:$I$40)&gt;0),Q45*(LN(O45/80+R45)-LN(R45)),"")</f>
        <v/>
      </c>
      <c r="T45">
        <f>IF(AND(Report!$D$6&lt;&gt;"",COUNT(Spectra!$I$5:$I$40)&gt;0),M45,"")</f>
        <v/>
      </c>
      <c r="U45">
        <f>IF(AND(Report!$D$6&lt;&gt;"",COUNT(Spectra!$I$5:$I$40)&gt;0),S45*COS(RADIANS(L45)),"")</f>
        <v/>
      </c>
      <c r="V45">
        <f>IF(AND(Report!$D$6&lt;&gt;"",COUNT(Spectra!$I$5:$I$40)&gt;0),S45*SIN(RADIANS(L45)),"")</f>
        <v/>
      </c>
      <c r="W45">
        <f>IF(AND(Report!$D$6&lt;&gt;"",COUNT(Spectra!$I$5:$I$40)&gt;0),IF(E45/INDEX(Matrices!$B$2:$B$17,C45)&gt;0.008856,(E45/INDEX(Matrices!$B$2:$B$17,C45))^(1/3),7.787*E45/INDEX(Matrices!$B$2:$B$17,C45)+16/116),"")</f>
        <v/>
      </c>
      <c r="X45">
        <f>IF(AND(Report!$D$6&lt;&gt;"",COUNT(Spectra!$I$5:$I$40)&gt;0),IF(F45/INDEX(Matrices!$C$2:$C$17,C45)&gt;0.008856,(F45/INDEX(Matrices!$C$2:$C$17,C45))^(1/3),7.787*F45/INDEX(Matrices!$C$2:$C$17,C45)+16/116),"")</f>
        <v/>
      </c>
      <c r="Y45">
        <f>IF(AND(Report!$D$6&lt;&gt;"",COUNT(Spectra!$I$5:$I$40)&gt;0),IF(G45/INDEX(Matrices!$D$2:$D$17,C45)&gt;0.008856,(G45/INDEX(Matrices!$D$2:$D$17,C45))^(1/3),7.787*G45/INDEX(Matrices!$D$2:$D$17,C45)+16/116),"")</f>
        <v/>
      </c>
      <c r="Z45">
        <f>IF(AND(Report!$D$6&lt;&gt;"",COUNT(Spectra!$I$5:$I$40)&gt;0),116*X45-16,"")</f>
        <v/>
      </c>
      <c r="AA45">
        <f>IF(AND(Report!$D$6&lt;&gt;"",COUNT(Spectra!$I$5:$I$40)&gt;0),500*(W45-X45),"")</f>
        <v/>
      </c>
      <c r="AB45">
        <f>IF(AND(Report!$D$6&lt;&gt;"",COUNT(Spectra!$I$5:$I$40)&gt;0),200*(X45-Y45),"")</f>
        <v/>
      </c>
    </row>
    <row r="46">
      <c r="A46" t="n">
        <v>8</v>
      </c>
      <c r="B46" t="n">
        <v>3</v>
      </c>
      <c r="C46">
        <f>IF(AND(Report!$E$6&lt;&gt;"",COUNT(Spectra!$I$5:$I$40)&gt;0),MATCH(Report!$E$6,Matrices!$A$2:$A$17,0),"")</f>
        <v/>
      </c>
      <c r="D46">
        <f>IF(AND(Report!$E$6&lt;&gt;"",COUNT(Spectra!$I$5:$I$40)&gt;0),MATCH(Report!$E$6,Weights!$B$3:$AW$3,0),"")</f>
        <v/>
      </c>
      <c r="E46">
        <f>IF(AND(Report!$E$6&lt;&gt;"",COUNT(Spectra!$I$5:$I$40)&gt;0),SUMPRODUCT(Spectra!$I$5:$I$40,INDEX(Weights!$B$5:$AW$40,0,D46+0))/Spectra!$N$5,"")</f>
        <v/>
      </c>
      <c r="F46">
        <f>IF(AND(Report!$E$6&lt;&gt;"",COUNT(Spectra!$I$5:$I$40)&gt;0),SUMPRODUCT(Spectra!$I$5:$I$40,INDEX(Weights!$B$5:$AW$40,0,D46+1))/Spectra!$N$5,"")</f>
        <v/>
      </c>
      <c r="G46">
        <f>IF(AND(Report!$E$6&lt;&gt;"",COUNT(Spectra!$I$5:$I$40)&gt;0),SUMPRODUCT(Spectra!$I$5:$I$40,INDEX(Weights!$B$5:$AW$40,0,D46+2))/Spectra!$N$5,"")</f>
        <v/>
      </c>
      <c r="H46">
        <f>IF(AND(Report!$E$6&lt;&gt;"",COUNT(Spectra!$I$5:$I$40)&gt;0),INDEX(Matrices!$E$2:$E$17,C46)*E46+INDEX(Matrices!$F$2:$F$17,C46)*F46+INDEX(Matrices!$G$2:$G$17,C46)*G46,"")</f>
        <v/>
      </c>
      <c r="I46">
        <f>IF(AND(Report!$E$6&lt;&gt;"",COUNT(Spectra!$I$5:$I$40)&gt;0),INDEX(Matrices!$H$2:$H$17,C46)*E46+INDEX(Matrices!$I$2:$I$17,C46)*F46+INDEX(Matrices!$J$2:$J$17,C46)*G46,"")</f>
        <v/>
      </c>
      <c r="J46">
        <f>IF(AND(Report!$E$6&lt;&gt;"",COUNT(Spectra!$I$5:$I$40)&gt;0),INDEX(Matrices!$K$2:$K$17,C46)*E46+INDEX(Matrices!$L$2:$L$17,C46)*F46+INDEX(Matrices!$M$2:$M$17,C46)*G46,"")</f>
        <v/>
      </c>
      <c r="K46">
        <f>IF(AND(Report!$E$6&lt;&gt;"",COUNT(Spectra!$I$5:$I$40)&gt;0),SQRT(I46^2+J46^2),"")</f>
        <v/>
      </c>
      <c r="L46">
        <f>IF(AND(Report!$E$6&lt;&gt;"",COUNT(Spectra!$I$5:$I$40)&gt;0),IF(K46=0,0,MOD(DEGREES(ATAN2(I46,J46)),360)),"")</f>
        <v/>
      </c>
      <c r="M46">
        <f>IF(AND(Report!$E$6&lt;&gt;"",COUNT(Spectra!$I$5:$I$40)&gt;0),IF(H46/100&gt;(6/29)^3,(H46/100)^(1/3),(1/3)*(29/6)^2*H46/100+16/116)*116-16,"")</f>
        <v/>
      </c>
      <c r="N46">
        <f>IF(AND(Report!$E$6&lt;&gt;"",COUNT(Spectra!$I$5:$I$40)&gt;0),EXP(0.026742553710937*(M46-51.576165618406904))/0.45888671875,"")</f>
        <v/>
      </c>
      <c r="O46">
        <f>IF(AND(Report!$E$6&lt;&gt;"",COUNT(Spectra!$I$5:$I$40)&gt;0),K46/N46,"")</f>
        <v/>
      </c>
      <c r="P46">
        <f>IF(AND(Report!$E$6&lt;&gt;"",COUNT(Spectra!$I$5:$I$40)&gt;0),IF(AND(L46&gt;1,L46&lt;181),SIN(RADIANS(L46-1))^3,0)+IF(AND(L46&gt;104,L46&lt;284),0.39*COS(RADIANS(L46-14))^2,0),"")</f>
        <v/>
      </c>
      <c r="Q46">
        <f>IF(AND(Report!$E$6&lt;&gt;"",COUNT(Spectra!$I$5:$I$40)&gt;0),62*(P46+0.31),"")</f>
        <v/>
      </c>
      <c r="R46">
        <f>IF(AND(Report!$E$6&lt;&gt;"",COUNT(Spectra!$I$5:$I$40)&gt;0),0.36*(P46+0.19),"")</f>
        <v/>
      </c>
      <c r="S46">
        <f>IF(AND(Report!$E$6&lt;&gt;"",COUNT(Spectra!$I$5:$I$40)&gt;0),Q46*(LN(O46/80+R46)-LN(R46)),"")</f>
        <v/>
      </c>
      <c r="T46">
        <f>IF(AND(Report!$E$6&lt;&gt;"",COUNT(Spectra!$I$5:$I$40)&gt;0),M46,"")</f>
        <v/>
      </c>
      <c r="U46">
        <f>IF(AND(Report!$E$6&lt;&gt;"",COUNT(Spectra!$I$5:$I$40)&gt;0),S46*COS(RADIANS(L46)),"")</f>
        <v/>
      </c>
      <c r="V46">
        <f>IF(AND(Report!$E$6&lt;&gt;"",COUNT(Spectra!$I$5:$I$40)&gt;0),S46*SIN(RADIANS(L46)),"")</f>
        <v/>
      </c>
      <c r="W46">
        <f>IF(AND(Report!$E$6&lt;&gt;"",COUNT(Spectra!$I$5:$I$40)&gt;0),IF(E46/INDEX(Matrices!$B$2:$B$17,C46)&gt;0.008856,(E46/INDEX(Matrices!$B$2:$B$17,C46))^(1/3),7.787*E46/INDEX(Matrices!$B$2:$B$17,C46)+16/116),"")</f>
        <v/>
      </c>
      <c r="X46">
        <f>IF(AND(Report!$E$6&lt;&gt;"",COUNT(Spectra!$I$5:$I$40)&gt;0),IF(F46/INDEX(Matrices!$C$2:$C$17,C46)&gt;0.008856,(F46/INDEX(Matrices!$C$2:$C$17,C46))^(1/3),7.787*F46/INDEX(Matrices!$C$2:$C$17,C46)+16/116),"")</f>
        <v/>
      </c>
      <c r="Y46">
        <f>IF(AND(Report!$E$6&lt;&gt;"",COUNT(Spectra!$I$5:$I$40)&gt;0),IF(G46/INDEX(Matrices!$D$2:$D$17,C46)&gt;0.008856,(G46/INDEX(Matrices!$D$2:$D$17,C46))^(1/3),7.787*G46/INDEX(Matrices!$D$2:$D$17,C46)+16/116),"")</f>
        <v/>
      </c>
      <c r="Z46">
        <f>IF(AND(Report!$E$6&lt;&gt;"",COUNT(Spectra!$I$5:$I$40)&gt;0),116*X46-16,"")</f>
        <v/>
      </c>
      <c r="AA46">
        <f>IF(AND(Report!$E$6&lt;&gt;"",COUNT(Spectra!$I$5:$I$40)&gt;0),500*(W46-X46),"")</f>
        <v/>
      </c>
      <c r="AB46">
        <f>IF(AND(Report!$E$6&lt;&gt;"",COUNT(Spectra!$I$5:$I$40)&gt;0),200*(X46-Y46),"")</f>
        <v/>
      </c>
    </row>
    <row r="47">
      <c r="A47" t="n">
        <v>8</v>
      </c>
      <c r="B47" t="n">
        <v>4</v>
      </c>
      <c r="C47">
        <f>IF(AND(Report!$F$6&lt;&gt;"",COUNT(Spectra!$I$5:$I$40)&gt;0),MATCH(Report!$F$6,Matrices!$A$2:$A$17,0),"")</f>
        <v/>
      </c>
      <c r="D47">
        <f>IF(AND(Report!$F$6&lt;&gt;"",COUNT(Spectra!$I$5:$I$40)&gt;0),MATCH(Report!$F$6,Weights!$B$3:$AW$3,0),"")</f>
        <v/>
      </c>
      <c r="E47">
        <f>IF(AND(Report!$F$6&lt;&gt;"",COUNT(Spectra!$I$5:$I$40)&gt;0),SUMPRODUCT(Spectra!$I$5:$I$40,INDEX(Weights!$B$5:$AW$40,0,D47+0))/Spectra!$N$5,"")</f>
        <v/>
      </c>
      <c r="F47">
        <f>IF(AND(Report!$F$6&lt;&gt;"",COUNT(Spectra!$I$5:$I$40)&gt;0),SUMPRODUCT(Spectra!$I$5:$I$40,INDEX(Weights!$B$5:$AW$40,0,D47+1))/Spectra!$N$5,"")</f>
        <v/>
      </c>
      <c r="G47">
        <f>IF(AND(Report!$F$6&lt;&gt;"",COUNT(Spectra!$I$5:$I$40)&gt;0),SUMPRODUCT(Spectra!$I$5:$I$40,INDEX(Weights!$B$5:$AW$40,0,D47+2))/Spectra!$N$5,"")</f>
        <v/>
      </c>
      <c r="H47">
        <f>IF(AND(Report!$F$6&lt;&gt;"",COUNT(Spectra!$I$5:$I$40)&gt;0),INDEX(Matrices!$E$2:$E$17,C47)*E47+INDEX(Matrices!$F$2:$F$17,C47)*F47+INDEX(Matrices!$G$2:$G$17,C47)*G47,"")</f>
        <v/>
      </c>
      <c r="I47">
        <f>IF(AND(Report!$F$6&lt;&gt;"",COUNT(Spectra!$I$5:$I$40)&gt;0),INDEX(Matrices!$H$2:$H$17,C47)*E47+INDEX(Matrices!$I$2:$I$17,C47)*F47+INDEX(Matrices!$J$2:$J$17,C47)*G47,"")</f>
        <v/>
      </c>
      <c r="J47">
        <f>IF(AND(Report!$F$6&lt;&gt;"",COUNT(Spectra!$I$5:$I$40)&gt;0),INDEX(Matrices!$K$2:$K$17,C47)*E47+INDEX(Matrices!$L$2:$L$17,C47)*F47+INDEX(Matrices!$M$2:$M$17,C47)*G47,"")</f>
        <v/>
      </c>
      <c r="K47">
        <f>IF(AND(Report!$F$6&lt;&gt;"",COUNT(Spectra!$I$5:$I$40)&gt;0),SQRT(I47^2+J47^2),"")</f>
        <v/>
      </c>
      <c r="L47">
        <f>IF(AND(Report!$F$6&lt;&gt;"",COUNT(Spectra!$I$5:$I$40)&gt;0),IF(K47=0,0,MOD(DEGREES(ATAN2(I47,J47)),360)),"")</f>
        <v/>
      </c>
      <c r="M47">
        <f>IF(AND(Report!$F$6&lt;&gt;"",COUNT(Spectra!$I$5:$I$40)&gt;0),IF(H47/100&gt;(6/29)^3,(H47/100)^(1/3),(1/3)*(29/6)^2*H47/100+16/116)*116-16,"")</f>
        <v/>
      </c>
      <c r="N47">
        <f>IF(AND(Report!$F$6&lt;&gt;"",COUNT(Spectra!$I$5:$I$40)&gt;0),EXP(0.026742553710937*(M47-51.576165618406904))/0.45888671875,"")</f>
        <v/>
      </c>
      <c r="O47">
        <f>IF(AND(Report!$F$6&lt;&gt;"",COUNT(Spectra!$I$5:$I$40)&gt;0),K47/N47,"")</f>
        <v/>
      </c>
      <c r="P47">
        <f>IF(AND(Report!$F$6&lt;&gt;"",COUNT(Spectra!$I$5:$I$40)&gt;0),IF(AND(L47&gt;1,L47&lt;181),SIN(RADIANS(L47-1))^3,0)+IF(AND(L47&gt;104,L47&lt;284),0.39*COS(RADIANS(L47-14))^2,0),"")</f>
        <v/>
      </c>
      <c r="Q47">
        <f>IF(AND(Report!$F$6&lt;&gt;"",COUNT(Spectra!$I$5:$I$40)&gt;0),62*(P47+0.31),"")</f>
        <v/>
      </c>
      <c r="R47">
        <f>IF(AND(Report!$F$6&lt;&gt;"",COUNT(Spectra!$I$5:$I$40)&gt;0),0.36*(P47+0.19),"")</f>
        <v/>
      </c>
      <c r="S47">
        <f>IF(AND(Report!$F$6&lt;&gt;"",COUNT(Spectra!$I$5:$I$40)&gt;0),Q47*(LN(O47/80+R47)-LN(R47)),"")</f>
        <v/>
      </c>
      <c r="T47">
        <f>IF(AND(Report!$F$6&lt;&gt;"",COUNT(Spectra!$I$5:$I$40)&gt;0),M47,"")</f>
        <v/>
      </c>
      <c r="U47">
        <f>IF(AND(Report!$F$6&lt;&gt;"",COUNT(Spectra!$I$5:$I$40)&gt;0),S47*COS(RADIANS(L47)),"")</f>
        <v/>
      </c>
      <c r="V47">
        <f>IF(AND(Report!$F$6&lt;&gt;"",COUNT(Spectra!$I$5:$I$40)&gt;0),S47*SIN(RADIANS(L47)),"")</f>
        <v/>
      </c>
      <c r="W47">
        <f>IF(AND(Report!$F$6&lt;&gt;"",COUNT(Spectra!$I$5:$I$40)&gt;0),IF(E47/INDEX(Matrices!$B$2:$B$17,C47)&gt;0.008856,(E47/INDEX(Matrices!$B$2:$B$17,C47))^(1/3),7.787*E47/INDEX(Matrices!$B$2:$B$17,C47)+16/116),"")</f>
        <v/>
      </c>
      <c r="X47">
        <f>IF(AND(Report!$F$6&lt;&gt;"",COUNT(Spectra!$I$5:$I$40)&gt;0),IF(F47/INDEX(Matrices!$C$2:$C$17,C47)&gt;0.008856,(F47/INDEX(Matrices!$C$2:$C$17,C47))^(1/3),7.787*F47/INDEX(Matrices!$C$2:$C$17,C47)+16/116),"")</f>
        <v/>
      </c>
      <c r="Y47">
        <f>IF(AND(Report!$F$6&lt;&gt;"",COUNT(Spectra!$I$5:$I$40)&gt;0),IF(G47/INDEX(Matrices!$D$2:$D$17,C47)&gt;0.008856,(G47/INDEX(Matrices!$D$2:$D$17,C47))^(1/3),7.787*G47/INDEX(Matrices!$D$2:$D$17,C47)+16/116),"")</f>
        <v/>
      </c>
      <c r="Z47">
        <f>IF(AND(Report!$F$6&lt;&gt;"",COUNT(Spectra!$I$5:$I$40)&gt;0),116*X47-16,"")</f>
        <v/>
      </c>
      <c r="AA47">
        <f>IF(AND(Report!$F$6&lt;&gt;"",COUNT(Spectra!$I$5:$I$40)&gt;0),500*(W47-X47),"")</f>
        <v/>
      </c>
      <c r="AB47">
        <f>IF(AND(Report!$F$6&lt;&gt;"",COUNT(Spectra!$I$5:$I$40)&gt;0),200*(X47-Y47),"")</f>
        <v/>
      </c>
    </row>
    <row r="48">
      <c r="A48" t="n">
        <v>8</v>
      </c>
      <c r="B48" t="n">
        <v>5</v>
      </c>
      <c r="C48">
        <f>IF(AND(Report!$G$6&lt;&gt;"",COUNT(Spectra!$I$5:$I$40)&gt;0),MATCH(Report!$G$6,Matrices!$A$2:$A$17,0),"")</f>
        <v/>
      </c>
      <c r="D48">
        <f>IF(AND(Report!$G$6&lt;&gt;"",COUNT(Spectra!$I$5:$I$40)&gt;0),MATCH(Report!$G$6,Weights!$B$3:$AW$3,0),"")</f>
        <v/>
      </c>
      <c r="E48">
        <f>IF(AND(Report!$G$6&lt;&gt;"",COUNT(Spectra!$I$5:$I$40)&gt;0),SUMPRODUCT(Spectra!$I$5:$I$40,INDEX(Weights!$B$5:$AW$40,0,D48+0))/Spectra!$N$5,"")</f>
        <v/>
      </c>
      <c r="F48">
        <f>IF(AND(Report!$G$6&lt;&gt;"",COUNT(Spectra!$I$5:$I$40)&gt;0),SUMPRODUCT(Spectra!$I$5:$I$40,INDEX(Weights!$B$5:$AW$40,0,D48+1))/Spectra!$N$5,"")</f>
        <v/>
      </c>
      <c r="G48">
        <f>IF(AND(Report!$G$6&lt;&gt;"",COUNT(Spectra!$I$5:$I$40)&gt;0),SUMPRODUCT(Spectra!$I$5:$I$40,INDEX(Weights!$B$5:$AW$40,0,D48+2))/Spectra!$N$5,"")</f>
        <v/>
      </c>
      <c r="H48">
        <f>IF(AND(Report!$G$6&lt;&gt;"",COUNT(Spectra!$I$5:$I$40)&gt;0),INDEX(Matrices!$E$2:$E$17,C48)*E48+INDEX(Matrices!$F$2:$F$17,C48)*F48+INDEX(Matrices!$G$2:$G$17,C48)*G48,"")</f>
        <v/>
      </c>
      <c r="I48">
        <f>IF(AND(Report!$G$6&lt;&gt;"",COUNT(Spectra!$I$5:$I$40)&gt;0),INDEX(Matrices!$H$2:$H$17,C48)*E48+INDEX(Matrices!$I$2:$I$17,C48)*F48+INDEX(Matrices!$J$2:$J$17,C48)*G48,"")</f>
        <v/>
      </c>
      <c r="J48">
        <f>IF(AND(Report!$G$6&lt;&gt;"",COUNT(Spectra!$I$5:$I$40)&gt;0),INDEX(Matrices!$K$2:$K$17,C48)*E48+INDEX(Matrices!$L$2:$L$17,C48)*F48+INDEX(Matrices!$M$2:$M$17,C48)*G48,"")</f>
        <v/>
      </c>
      <c r="K48">
        <f>IF(AND(Report!$G$6&lt;&gt;"",COUNT(Spectra!$I$5:$I$40)&gt;0),SQRT(I48^2+J48^2),"")</f>
        <v/>
      </c>
      <c r="L48">
        <f>IF(AND(Report!$G$6&lt;&gt;"",COUNT(Spectra!$I$5:$I$40)&gt;0),IF(K48=0,0,MOD(DEGREES(ATAN2(I48,J48)),360)),"")</f>
        <v/>
      </c>
      <c r="M48">
        <f>IF(AND(Report!$G$6&lt;&gt;"",COUNT(Spectra!$I$5:$I$40)&gt;0),IF(H48/100&gt;(6/29)^3,(H48/100)^(1/3),(1/3)*(29/6)^2*H48/100+16/116)*116-16,"")</f>
        <v/>
      </c>
      <c r="N48">
        <f>IF(AND(Report!$G$6&lt;&gt;"",COUNT(Spectra!$I$5:$I$40)&gt;0),EXP(0.026742553710937*(M48-51.576165618406904))/0.45888671875,"")</f>
        <v/>
      </c>
      <c r="O48">
        <f>IF(AND(Report!$G$6&lt;&gt;"",COUNT(Spectra!$I$5:$I$40)&gt;0),K48/N48,"")</f>
        <v/>
      </c>
      <c r="P48">
        <f>IF(AND(Report!$G$6&lt;&gt;"",COUNT(Spectra!$I$5:$I$40)&gt;0),IF(AND(L48&gt;1,L48&lt;181),SIN(RADIANS(L48-1))^3,0)+IF(AND(L48&gt;104,L48&lt;284),0.39*COS(RADIANS(L48-14))^2,0),"")</f>
        <v/>
      </c>
      <c r="Q48">
        <f>IF(AND(Report!$G$6&lt;&gt;"",COUNT(Spectra!$I$5:$I$40)&gt;0),62*(P48+0.31),"")</f>
        <v/>
      </c>
      <c r="R48">
        <f>IF(AND(Report!$G$6&lt;&gt;"",COUNT(Spectra!$I$5:$I$40)&gt;0),0.36*(P48+0.19),"")</f>
        <v/>
      </c>
      <c r="S48">
        <f>IF(AND(Report!$G$6&lt;&gt;"",COUNT(Spectra!$I$5:$I$40)&gt;0),Q48*(LN(O48/80+R48)-LN(R48)),"")</f>
        <v/>
      </c>
      <c r="T48">
        <f>IF(AND(Report!$G$6&lt;&gt;"",COUNT(Spectra!$I$5:$I$40)&gt;0),M48,"")</f>
        <v/>
      </c>
      <c r="U48">
        <f>IF(AND(Report!$G$6&lt;&gt;"",COUNT(Spectra!$I$5:$I$40)&gt;0),S48*COS(RADIANS(L48)),"")</f>
        <v/>
      </c>
      <c r="V48">
        <f>IF(AND(Report!$G$6&lt;&gt;"",COUNT(Spectra!$I$5:$I$40)&gt;0),S48*SIN(RADIANS(L48)),"")</f>
        <v/>
      </c>
      <c r="W48">
        <f>IF(AND(Report!$G$6&lt;&gt;"",COUNT(Spectra!$I$5:$I$40)&gt;0),IF(E48/INDEX(Matrices!$B$2:$B$17,C48)&gt;0.008856,(E48/INDEX(Matrices!$B$2:$B$17,C48))^(1/3),7.787*E48/INDEX(Matrices!$B$2:$B$17,C48)+16/116),"")</f>
        <v/>
      </c>
      <c r="X48">
        <f>IF(AND(Report!$G$6&lt;&gt;"",COUNT(Spectra!$I$5:$I$40)&gt;0),IF(F48/INDEX(Matrices!$C$2:$C$17,C48)&gt;0.008856,(F48/INDEX(Matrices!$C$2:$C$17,C48))^(1/3),7.787*F48/INDEX(Matrices!$C$2:$C$17,C48)+16/116),"")</f>
        <v/>
      </c>
      <c r="Y48">
        <f>IF(AND(Report!$G$6&lt;&gt;"",COUNT(Spectra!$I$5:$I$40)&gt;0),IF(G48/INDEX(Matrices!$D$2:$D$17,C48)&gt;0.008856,(G48/INDEX(Matrices!$D$2:$D$17,C48))^(1/3),7.787*G48/INDEX(Matrices!$D$2:$D$17,C48)+16/116),"")</f>
        <v/>
      </c>
      <c r="Z48">
        <f>IF(AND(Report!$G$6&lt;&gt;"",COUNT(Spectra!$I$5:$I$40)&gt;0),116*X48-16,"")</f>
        <v/>
      </c>
      <c r="AA48">
        <f>IF(AND(Report!$G$6&lt;&gt;"",COUNT(Spectra!$I$5:$I$40)&gt;0),500*(W48-X48),"")</f>
        <v/>
      </c>
      <c r="AB48">
        <f>IF(AND(Report!$G$6&lt;&gt;"",COUNT(Spectra!$I$5:$I$40)&gt;0),200*(X48-Y48),"")</f>
        <v/>
      </c>
    </row>
    <row r="49">
      <c r="A49" t="n">
        <v>8</v>
      </c>
      <c r="B49" t="n">
        <v>6</v>
      </c>
      <c r="C49">
        <f>IF(AND(Report!$H$6&lt;&gt;"",COUNT(Spectra!$I$5:$I$40)&gt;0),MATCH(Report!$H$6,Matrices!$A$2:$A$17,0),"")</f>
        <v/>
      </c>
      <c r="D49">
        <f>IF(AND(Report!$H$6&lt;&gt;"",COUNT(Spectra!$I$5:$I$40)&gt;0),MATCH(Report!$H$6,Weights!$B$3:$AW$3,0),"")</f>
        <v/>
      </c>
      <c r="E49">
        <f>IF(AND(Report!$H$6&lt;&gt;"",COUNT(Spectra!$I$5:$I$40)&gt;0),SUMPRODUCT(Spectra!$I$5:$I$40,INDEX(Weights!$B$5:$AW$40,0,D49+0))/Spectra!$N$5,"")</f>
        <v/>
      </c>
      <c r="F49">
        <f>IF(AND(Report!$H$6&lt;&gt;"",COUNT(Spectra!$I$5:$I$40)&gt;0),SUMPRODUCT(Spectra!$I$5:$I$40,INDEX(Weights!$B$5:$AW$40,0,D49+1))/Spectra!$N$5,"")</f>
        <v/>
      </c>
      <c r="G49">
        <f>IF(AND(Report!$H$6&lt;&gt;"",COUNT(Spectra!$I$5:$I$40)&gt;0),SUMPRODUCT(Spectra!$I$5:$I$40,INDEX(Weights!$B$5:$AW$40,0,D49+2))/Spectra!$N$5,"")</f>
        <v/>
      </c>
      <c r="H49">
        <f>IF(AND(Report!$H$6&lt;&gt;"",COUNT(Spectra!$I$5:$I$40)&gt;0),INDEX(Matrices!$E$2:$E$17,C49)*E49+INDEX(Matrices!$F$2:$F$17,C49)*F49+INDEX(Matrices!$G$2:$G$17,C49)*G49,"")</f>
        <v/>
      </c>
      <c r="I49">
        <f>IF(AND(Report!$H$6&lt;&gt;"",COUNT(Spectra!$I$5:$I$40)&gt;0),INDEX(Matrices!$H$2:$H$17,C49)*E49+INDEX(Matrices!$I$2:$I$17,C49)*F49+INDEX(Matrices!$J$2:$J$17,C49)*G49,"")</f>
        <v/>
      </c>
      <c r="J49">
        <f>IF(AND(Report!$H$6&lt;&gt;"",COUNT(Spectra!$I$5:$I$40)&gt;0),INDEX(Matrices!$K$2:$K$17,C49)*E49+INDEX(Matrices!$L$2:$L$17,C49)*F49+INDEX(Matrices!$M$2:$M$17,C49)*G49,"")</f>
        <v/>
      </c>
      <c r="K49">
        <f>IF(AND(Report!$H$6&lt;&gt;"",COUNT(Spectra!$I$5:$I$40)&gt;0),SQRT(I49^2+J49^2),"")</f>
        <v/>
      </c>
      <c r="L49">
        <f>IF(AND(Report!$H$6&lt;&gt;"",COUNT(Spectra!$I$5:$I$40)&gt;0),IF(K49=0,0,MOD(DEGREES(ATAN2(I49,J49)),360)),"")</f>
        <v/>
      </c>
      <c r="M49">
        <f>IF(AND(Report!$H$6&lt;&gt;"",COUNT(Spectra!$I$5:$I$40)&gt;0),IF(H49/100&gt;(6/29)^3,(H49/100)^(1/3),(1/3)*(29/6)^2*H49/100+16/116)*116-16,"")</f>
        <v/>
      </c>
      <c r="N49">
        <f>IF(AND(Report!$H$6&lt;&gt;"",COUNT(Spectra!$I$5:$I$40)&gt;0),EXP(0.026742553710937*(M49-51.576165618406904))/0.45888671875,"")</f>
        <v/>
      </c>
      <c r="O49">
        <f>IF(AND(Report!$H$6&lt;&gt;"",COUNT(Spectra!$I$5:$I$40)&gt;0),K49/N49,"")</f>
        <v/>
      </c>
      <c r="P49">
        <f>IF(AND(Report!$H$6&lt;&gt;"",COUNT(Spectra!$I$5:$I$40)&gt;0),IF(AND(L49&gt;1,L49&lt;181),SIN(RADIANS(L49-1))^3,0)+IF(AND(L49&gt;104,L49&lt;284),0.39*COS(RADIANS(L49-14))^2,0),"")</f>
        <v/>
      </c>
      <c r="Q49">
        <f>IF(AND(Report!$H$6&lt;&gt;"",COUNT(Spectra!$I$5:$I$40)&gt;0),62*(P49+0.31),"")</f>
        <v/>
      </c>
      <c r="R49">
        <f>IF(AND(Report!$H$6&lt;&gt;"",COUNT(Spectra!$I$5:$I$40)&gt;0),0.36*(P49+0.19),"")</f>
        <v/>
      </c>
      <c r="S49">
        <f>IF(AND(Report!$H$6&lt;&gt;"",COUNT(Spectra!$I$5:$I$40)&gt;0),Q49*(LN(O49/80+R49)-LN(R49)),"")</f>
        <v/>
      </c>
      <c r="T49">
        <f>IF(AND(Report!$H$6&lt;&gt;"",COUNT(Spectra!$I$5:$I$40)&gt;0),M49,"")</f>
        <v/>
      </c>
      <c r="U49">
        <f>IF(AND(Report!$H$6&lt;&gt;"",COUNT(Spectra!$I$5:$I$40)&gt;0),S49*COS(RADIANS(L49)),"")</f>
        <v/>
      </c>
      <c r="V49">
        <f>IF(AND(Report!$H$6&lt;&gt;"",COUNT(Spectra!$I$5:$I$40)&gt;0),S49*SIN(RADIANS(L49)),"")</f>
        <v/>
      </c>
      <c r="W49">
        <f>IF(AND(Report!$H$6&lt;&gt;"",COUNT(Spectra!$I$5:$I$40)&gt;0),IF(E49/INDEX(Matrices!$B$2:$B$17,C49)&gt;0.008856,(E49/INDEX(Matrices!$B$2:$B$17,C49))^(1/3),7.787*E49/INDEX(Matrices!$B$2:$B$17,C49)+16/116),"")</f>
        <v/>
      </c>
      <c r="X49">
        <f>IF(AND(Report!$H$6&lt;&gt;"",COUNT(Spectra!$I$5:$I$40)&gt;0),IF(F49/INDEX(Matrices!$C$2:$C$17,C49)&gt;0.008856,(F49/INDEX(Matrices!$C$2:$C$17,C49))^(1/3),7.787*F49/INDEX(Matrices!$C$2:$C$17,C49)+16/116),"")</f>
        <v/>
      </c>
      <c r="Y49">
        <f>IF(AND(Report!$H$6&lt;&gt;"",COUNT(Spectra!$I$5:$I$40)&gt;0),IF(G49/INDEX(Matrices!$D$2:$D$17,C49)&gt;0.008856,(G49/INDEX(Matrices!$D$2:$D$17,C49))^(1/3),7.787*G49/INDEX(Matrices!$D$2:$D$17,C49)+16/116),"")</f>
        <v/>
      </c>
      <c r="Z49">
        <f>IF(AND(Report!$H$6&lt;&gt;"",COUNT(Spectra!$I$5:$I$40)&gt;0),116*X49-16,"")</f>
        <v/>
      </c>
      <c r="AA49">
        <f>IF(AND(Report!$H$6&lt;&gt;"",COUNT(Spectra!$I$5:$I$40)&gt;0),500*(W49-X49),"")</f>
        <v/>
      </c>
      <c r="AB49">
        <f>IF(AND(Report!$H$6&lt;&gt;"",COUNT(Spectra!$I$5:$I$40)&gt;0),200*(X49-Y49),"")</f>
        <v/>
      </c>
    </row>
    <row r="50">
      <c r="A50" t="n">
        <v>9</v>
      </c>
      <c r="B50" t="n">
        <v>1</v>
      </c>
      <c r="C50">
        <f>IF(AND(Report!$C$6&lt;&gt;"",COUNT(Spectra!$J$5:$J$40)&gt;0),MATCH(Report!$C$6,Matrices!$A$2:$A$17,0),"")</f>
        <v/>
      </c>
      <c r="D50">
        <f>IF(AND(Report!$C$6&lt;&gt;"",COUNT(Spectra!$J$5:$J$40)&gt;0),MATCH(Report!$C$6,Weights!$B$3:$AW$3,0),"")</f>
        <v/>
      </c>
      <c r="E50">
        <f>IF(AND(Report!$C$6&lt;&gt;"",COUNT(Spectra!$J$5:$J$40)&gt;0),SUMPRODUCT(Spectra!$J$5:$J$40,INDEX(Weights!$B$5:$AW$40,0,D50+0))/Spectra!$N$5,"")</f>
        <v/>
      </c>
      <c r="F50">
        <f>IF(AND(Report!$C$6&lt;&gt;"",COUNT(Spectra!$J$5:$J$40)&gt;0),SUMPRODUCT(Spectra!$J$5:$J$40,INDEX(Weights!$B$5:$AW$40,0,D50+1))/Spectra!$N$5,"")</f>
        <v/>
      </c>
      <c r="G50">
        <f>IF(AND(Report!$C$6&lt;&gt;"",COUNT(Spectra!$J$5:$J$40)&gt;0),SUMPRODUCT(Spectra!$J$5:$J$40,INDEX(Weights!$B$5:$AW$40,0,D50+2))/Spectra!$N$5,"")</f>
        <v/>
      </c>
      <c r="H50">
        <f>IF(AND(Report!$C$6&lt;&gt;"",COUNT(Spectra!$J$5:$J$40)&gt;0),INDEX(Matrices!$E$2:$E$17,C50)*E50+INDEX(Matrices!$F$2:$F$17,C50)*F50+INDEX(Matrices!$G$2:$G$17,C50)*G50,"")</f>
        <v/>
      </c>
      <c r="I50">
        <f>IF(AND(Report!$C$6&lt;&gt;"",COUNT(Spectra!$J$5:$J$40)&gt;0),INDEX(Matrices!$H$2:$H$17,C50)*E50+INDEX(Matrices!$I$2:$I$17,C50)*F50+INDEX(Matrices!$J$2:$J$17,C50)*G50,"")</f>
        <v/>
      </c>
      <c r="J50">
        <f>IF(AND(Report!$C$6&lt;&gt;"",COUNT(Spectra!$J$5:$J$40)&gt;0),INDEX(Matrices!$K$2:$K$17,C50)*E50+INDEX(Matrices!$L$2:$L$17,C50)*F50+INDEX(Matrices!$M$2:$M$17,C50)*G50,"")</f>
        <v/>
      </c>
      <c r="K50">
        <f>IF(AND(Report!$C$6&lt;&gt;"",COUNT(Spectra!$J$5:$J$40)&gt;0),SQRT(I50^2+J50^2),"")</f>
        <v/>
      </c>
      <c r="L50">
        <f>IF(AND(Report!$C$6&lt;&gt;"",COUNT(Spectra!$J$5:$J$40)&gt;0),IF(K50=0,0,MOD(DEGREES(ATAN2(I50,J50)),360)),"")</f>
        <v/>
      </c>
      <c r="M50">
        <f>IF(AND(Report!$C$6&lt;&gt;"",COUNT(Spectra!$J$5:$J$40)&gt;0),IF(H50/100&gt;(6/29)^3,(H50/100)^(1/3),(1/3)*(29/6)^2*H50/100+16/116)*116-16,"")</f>
        <v/>
      </c>
      <c r="N50">
        <f>IF(AND(Report!$C$6&lt;&gt;"",COUNT(Spectra!$J$5:$J$40)&gt;0),EXP(0.026742553710937*(M50-51.576165618406904))/0.45888671875,"")</f>
        <v/>
      </c>
      <c r="O50">
        <f>IF(AND(Report!$C$6&lt;&gt;"",COUNT(Spectra!$J$5:$J$40)&gt;0),K50/N50,"")</f>
        <v/>
      </c>
      <c r="P50">
        <f>IF(AND(Report!$C$6&lt;&gt;"",COUNT(Spectra!$J$5:$J$40)&gt;0),IF(AND(L50&gt;1,L50&lt;181),SIN(RADIANS(L50-1))^3,0)+IF(AND(L50&gt;104,L50&lt;284),0.39*COS(RADIANS(L50-14))^2,0),"")</f>
        <v/>
      </c>
      <c r="Q50">
        <f>IF(AND(Report!$C$6&lt;&gt;"",COUNT(Spectra!$J$5:$J$40)&gt;0),62*(P50+0.31),"")</f>
        <v/>
      </c>
      <c r="R50">
        <f>IF(AND(Report!$C$6&lt;&gt;"",COUNT(Spectra!$J$5:$J$40)&gt;0),0.36*(P50+0.19),"")</f>
        <v/>
      </c>
      <c r="S50">
        <f>IF(AND(Report!$C$6&lt;&gt;"",COUNT(Spectra!$J$5:$J$40)&gt;0),Q50*(LN(O50/80+R50)-LN(R50)),"")</f>
        <v/>
      </c>
      <c r="T50">
        <f>IF(AND(Report!$C$6&lt;&gt;"",COUNT(Spectra!$J$5:$J$40)&gt;0),M50,"")</f>
        <v/>
      </c>
      <c r="U50">
        <f>IF(AND(Report!$C$6&lt;&gt;"",COUNT(Spectra!$J$5:$J$40)&gt;0),S50*COS(RADIANS(L50)),"")</f>
        <v/>
      </c>
      <c r="V50">
        <f>IF(AND(Report!$C$6&lt;&gt;"",COUNT(Spectra!$J$5:$J$40)&gt;0),S50*SIN(RADIANS(L50)),"")</f>
        <v/>
      </c>
      <c r="W50">
        <f>IF(AND(Report!$C$6&lt;&gt;"",COUNT(Spectra!$J$5:$J$40)&gt;0),IF(E50/INDEX(Matrices!$B$2:$B$17,C50)&gt;0.008856,(E50/INDEX(Matrices!$B$2:$B$17,C50))^(1/3),7.787*E50/INDEX(Matrices!$B$2:$B$17,C50)+16/116),"")</f>
        <v/>
      </c>
      <c r="X50">
        <f>IF(AND(Report!$C$6&lt;&gt;"",COUNT(Spectra!$J$5:$J$40)&gt;0),IF(F50/INDEX(Matrices!$C$2:$C$17,C50)&gt;0.008856,(F50/INDEX(Matrices!$C$2:$C$17,C50))^(1/3),7.787*F50/INDEX(Matrices!$C$2:$C$17,C50)+16/116),"")</f>
        <v/>
      </c>
      <c r="Y50">
        <f>IF(AND(Report!$C$6&lt;&gt;"",COUNT(Spectra!$J$5:$J$40)&gt;0),IF(G50/INDEX(Matrices!$D$2:$D$17,C50)&gt;0.008856,(G50/INDEX(Matrices!$D$2:$D$17,C50))^(1/3),7.787*G50/INDEX(Matrices!$D$2:$D$17,C50)+16/116),"")</f>
        <v/>
      </c>
      <c r="Z50">
        <f>IF(AND(Report!$C$6&lt;&gt;"",COUNT(Spectra!$J$5:$J$40)&gt;0),116*X50-16,"")</f>
        <v/>
      </c>
      <c r="AA50">
        <f>IF(AND(Report!$C$6&lt;&gt;"",COUNT(Spectra!$J$5:$J$40)&gt;0),500*(W50-X50),"")</f>
        <v/>
      </c>
      <c r="AB50">
        <f>IF(AND(Report!$C$6&lt;&gt;"",COUNT(Spectra!$J$5:$J$40)&gt;0),200*(X50-Y50),"")</f>
        <v/>
      </c>
    </row>
    <row r="51">
      <c r="A51" t="n">
        <v>9</v>
      </c>
      <c r="B51" t="n">
        <v>2</v>
      </c>
      <c r="C51">
        <f>IF(AND(Report!$D$6&lt;&gt;"",COUNT(Spectra!$J$5:$J$40)&gt;0),MATCH(Report!$D$6,Matrices!$A$2:$A$17,0),"")</f>
        <v/>
      </c>
      <c r="D51">
        <f>IF(AND(Report!$D$6&lt;&gt;"",COUNT(Spectra!$J$5:$J$40)&gt;0),MATCH(Report!$D$6,Weights!$B$3:$AW$3,0),"")</f>
        <v/>
      </c>
      <c r="E51">
        <f>IF(AND(Report!$D$6&lt;&gt;"",COUNT(Spectra!$J$5:$J$40)&gt;0),SUMPRODUCT(Spectra!$J$5:$J$40,INDEX(Weights!$B$5:$AW$40,0,D51+0))/Spectra!$N$5,"")</f>
        <v/>
      </c>
      <c r="F51">
        <f>IF(AND(Report!$D$6&lt;&gt;"",COUNT(Spectra!$J$5:$J$40)&gt;0),SUMPRODUCT(Spectra!$J$5:$J$40,INDEX(Weights!$B$5:$AW$40,0,D51+1))/Spectra!$N$5,"")</f>
        <v/>
      </c>
      <c r="G51">
        <f>IF(AND(Report!$D$6&lt;&gt;"",COUNT(Spectra!$J$5:$J$40)&gt;0),SUMPRODUCT(Spectra!$J$5:$J$40,INDEX(Weights!$B$5:$AW$40,0,D51+2))/Spectra!$N$5,"")</f>
        <v/>
      </c>
      <c r="H51">
        <f>IF(AND(Report!$D$6&lt;&gt;"",COUNT(Spectra!$J$5:$J$40)&gt;0),INDEX(Matrices!$E$2:$E$17,C51)*E51+INDEX(Matrices!$F$2:$F$17,C51)*F51+INDEX(Matrices!$G$2:$G$17,C51)*G51,"")</f>
        <v/>
      </c>
      <c r="I51">
        <f>IF(AND(Report!$D$6&lt;&gt;"",COUNT(Spectra!$J$5:$J$40)&gt;0),INDEX(Matrices!$H$2:$H$17,C51)*E51+INDEX(Matrices!$I$2:$I$17,C51)*F51+INDEX(Matrices!$J$2:$J$17,C51)*G51,"")</f>
        <v/>
      </c>
      <c r="J51">
        <f>IF(AND(Report!$D$6&lt;&gt;"",COUNT(Spectra!$J$5:$J$40)&gt;0),INDEX(Matrices!$K$2:$K$17,C51)*E51+INDEX(Matrices!$L$2:$L$17,C51)*F51+INDEX(Matrices!$M$2:$M$17,C51)*G51,"")</f>
        <v/>
      </c>
      <c r="K51">
        <f>IF(AND(Report!$D$6&lt;&gt;"",COUNT(Spectra!$J$5:$J$40)&gt;0),SQRT(I51^2+J51^2),"")</f>
        <v/>
      </c>
      <c r="L51">
        <f>IF(AND(Report!$D$6&lt;&gt;"",COUNT(Spectra!$J$5:$J$40)&gt;0),IF(K51=0,0,MOD(DEGREES(ATAN2(I51,J51)),360)),"")</f>
        <v/>
      </c>
      <c r="M51">
        <f>IF(AND(Report!$D$6&lt;&gt;"",COUNT(Spectra!$J$5:$J$40)&gt;0),IF(H51/100&gt;(6/29)^3,(H51/100)^(1/3),(1/3)*(29/6)^2*H51/100+16/116)*116-16,"")</f>
        <v/>
      </c>
      <c r="N51">
        <f>IF(AND(Report!$D$6&lt;&gt;"",COUNT(Spectra!$J$5:$J$40)&gt;0),EXP(0.026742553710937*(M51-51.576165618406904))/0.45888671875,"")</f>
        <v/>
      </c>
      <c r="O51">
        <f>IF(AND(Report!$D$6&lt;&gt;"",COUNT(Spectra!$J$5:$J$40)&gt;0),K51/N51,"")</f>
        <v/>
      </c>
      <c r="P51">
        <f>IF(AND(Report!$D$6&lt;&gt;"",COUNT(Spectra!$J$5:$J$40)&gt;0),IF(AND(L51&gt;1,L51&lt;181),SIN(RADIANS(L51-1))^3,0)+IF(AND(L51&gt;104,L51&lt;284),0.39*COS(RADIANS(L51-14))^2,0),"")</f>
        <v/>
      </c>
      <c r="Q51">
        <f>IF(AND(Report!$D$6&lt;&gt;"",COUNT(Spectra!$J$5:$J$40)&gt;0),62*(P51+0.31),"")</f>
        <v/>
      </c>
      <c r="R51">
        <f>IF(AND(Report!$D$6&lt;&gt;"",COUNT(Spectra!$J$5:$J$40)&gt;0),0.36*(P51+0.19),"")</f>
        <v/>
      </c>
      <c r="S51">
        <f>IF(AND(Report!$D$6&lt;&gt;"",COUNT(Spectra!$J$5:$J$40)&gt;0),Q51*(LN(O51/80+R51)-LN(R51)),"")</f>
        <v/>
      </c>
      <c r="T51">
        <f>IF(AND(Report!$D$6&lt;&gt;"",COUNT(Spectra!$J$5:$J$40)&gt;0),M51,"")</f>
        <v/>
      </c>
      <c r="U51">
        <f>IF(AND(Report!$D$6&lt;&gt;"",COUNT(Spectra!$J$5:$J$40)&gt;0),S51*COS(RADIANS(L51)),"")</f>
        <v/>
      </c>
      <c r="V51">
        <f>IF(AND(Report!$D$6&lt;&gt;"",COUNT(Spectra!$J$5:$J$40)&gt;0),S51*SIN(RADIANS(L51)),"")</f>
        <v/>
      </c>
      <c r="W51">
        <f>IF(AND(Report!$D$6&lt;&gt;"",COUNT(Spectra!$J$5:$J$40)&gt;0),IF(E51/INDEX(Matrices!$B$2:$B$17,C51)&gt;0.008856,(E51/INDEX(Matrices!$B$2:$B$17,C51))^(1/3),7.787*E51/INDEX(Matrices!$B$2:$B$17,C51)+16/116),"")</f>
        <v/>
      </c>
      <c r="X51">
        <f>IF(AND(Report!$D$6&lt;&gt;"",COUNT(Spectra!$J$5:$J$40)&gt;0),IF(F51/INDEX(Matrices!$C$2:$C$17,C51)&gt;0.008856,(F51/INDEX(Matrices!$C$2:$C$17,C51))^(1/3),7.787*F51/INDEX(Matrices!$C$2:$C$17,C51)+16/116),"")</f>
        <v/>
      </c>
      <c r="Y51">
        <f>IF(AND(Report!$D$6&lt;&gt;"",COUNT(Spectra!$J$5:$J$40)&gt;0),IF(G51/INDEX(Matrices!$D$2:$D$17,C51)&gt;0.008856,(G51/INDEX(Matrices!$D$2:$D$17,C51))^(1/3),7.787*G51/INDEX(Matrices!$D$2:$D$17,C51)+16/116),"")</f>
        <v/>
      </c>
      <c r="Z51">
        <f>IF(AND(Report!$D$6&lt;&gt;"",COUNT(Spectra!$J$5:$J$40)&gt;0),116*X51-16,"")</f>
        <v/>
      </c>
      <c r="AA51">
        <f>IF(AND(Report!$D$6&lt;&gt;"",COUNT(Spectra!$J$5:$J$40)&gt;0),500*(W51-X51),"")</f>
        <v/>
      </c>
      <c r="AB51">
        <f>IF(AND(Report!$D$6&lt;&gt;"",COUNT(Spectra!$J$5:$J$40)&gt;0),200*(X51-Y51),"")</f>
        <v/>
      </c>
    </row>
    <row r="52">
      <c r="A52" t="n">
        <v>9</v>
      </c>
      <c r="B52" t="n">
        <v>3</v>
      </c>
      <c r="C52">
        <f>IF(AND(Report!$E$6&lt;&gt;"",COUNT(Spectra!$J$5:$J$40)&gt;0),MATCH(Report!$E$6,Matrices!$A$2:$A$17,0),"")</f>
        <v/>
      </c>
      <c r="D52">
        <f>IF(AND(Report!$E$6&lt;&gt;"",COUNT(Spectra!$J$5:$J$40)&gt;0),MATCH(Report!$E$6,Weights!$B$3:$AW$3,0),"")</f>
        <v/>
      </c>
      <c r="E52">
        <f>IF(AND(Report!$E$6&lt;&gt;"",COUNT(Spectra!$J$5:$J$40)&gt;0),SUMPRODUCT(Spectra!$J$5:$J$40,INDEX(Weights!$B$5:$AW$40,0,D52+0))/Spectra!$N$5,"")</f>
        <v/>
      </c>
      <c r="F52">
        <f>IF(AND(Report!$E$6&lt;&gt;"",COUNT(Spectra!$J$5:$J$40)&gt;0),SUMPRODUCT(Spectra!$J$5:$J$40,INDEX(Weights!$B$5:$AW$40,0,D52+1))/Spectra!$N$5,"")</f>
        <v/>
      </c>
      <c r="G52">
        <f>IF(AND(Report!$E$6&lt;&gt;"",COUNT(Spectra!$J$5:$J$40)&gt;0),SUMPRODUCT(Spectra!$J$5:$J$40,INDEX(Weights!$B$5:$AW$40,0,D52+2))/Spectra!$N$5,"")</f>
        <v/>
      </c>
      <c r="H52">
        <f>IF(AND(Report!$E$6&lt;&gt;"",COUNT(Spectra!$J$5:$J$40)&gt;0),INDEX(Matrices!$E$2:$E$17,C52)*E52+INDEX(Matrices!$F$2:$F$17,C52)*F52+INDEX(Matrices!$G$2:$G$17,C52)*G52,"")</f>
        <v/>
      </c>
      <c r="I52">
        <f>IF(AND(Report!$E$6&lt;&gt;"",COUNT(Spectra!$J$5:$J$40)&gt;0),INDEX(Matrices!$H$2:$H$17,C52)*E52+INDEX(Matrices!$I$2:$I$17,C52)*F52+INDEX(Matrices!$J$2:$J$17,C52)*G52,"")</f>
        <v/>
      </c>
      <c r="J52">
        <f>IF(AND(Report!$E$6&lt;&gt;"",COUNT(Spectra!$J$5:$J$40)&gt;0),INDEX(Matrices!$K$2:$K$17,C52)*E52+INDEX(Matrices!$L$2:$L$17,C52)*F52+INDEX(Matrices!$M$2:$M$17,C52)*G52,"")</f>
        <v/>
      </c>
      <c r="K52">
        <f>IF(AND(Report!$E$6&lt;&gt;"",COUNT(Spectra!$J$5:$J$40)&gt;0),SQRT(I52^2+J52^2),"")</f>
        <v/>
      </c>
      <c r="L52">
        <f>IF(AND(Report!$E$6&lt;&gt;"",COUNT(Spectra!$J$5:$J$40)&gt;0),IF(K52=0,0,MOD(DEGREES(ATAN2(I52,J52)),360)),"")</f>
        <v/>
      </c>
      <c r="M52">
        <f>IF(AND(Report!$E$6&lt;&gt;"",COUNT(Spectra!$J$5:$J$40)&gt;0),IF(H52/100&gt;(6/29)^3,(H52/100)^(1/3),(1/3)*(29/6)^2*H52/100+16/116)*116-16,"")</f>
        <v/>
      </c>
      <c r="N52">
        <f>IF(AND(Report!$E$6&lt;&gt;"",COUNT(Spectra!$J$5:$J$40)&gt;0),EXP(0.026742553710937*(M52-51.576165618406904))/0.45888671875,"")</f>
        <v/>
      </c>
      <c r="O52">
        <f>IF(AND(Report!$E$6&lt;&gt;"",COUNT(Spectra!$J$5:$J$40)&gt;0),K52/N52,"")</f>
        <v/>
      </c>
      <c r="P52">
        <f>IF(AND(Report!$E$6&lt;&gt;"",COUNT(Spectra!$J$5:$J$40)&gt;0),IF(AND(L52&gt;1,L52&lt;181),SIN(RADIANS(L52-1))^3,0)+IF(AND(L52&gt;104,L52&lt;284),0.39*COS(RADIANS(L52-14))^2,0),"")</f>
        <v/>
      </c>
      <c r="Q52">
        <f>IF(AND(Report!$E$6&lt;&gt;"",COUNT(Spectra!$J$5:$J$40)&gt;0),62*(P52+0.31),"")</f>
        <v/>
      </c>
      <c r="R52">
        <f>IF(AND(Report!$E$6&lt;&gt;"",COUNT(Spectra!$J$5:$J$40)&gt;0),0.36*(P52+0.19),"")</f>
        <v/>
      </c>
      <c r="S52">
        <f>IF(AND(Report!$E$6&lt;&gt;"",COUNT(Spectra!$J$5:$J$40)&gt;0),Q52*(LN(O52/80+R52)-LN(R52)),"")</f>
        <v/>
      </c>
      <c r="T52">
        <f>IF(AND(Report!$E$6&lt;&gt;"",COUNT(Spectra!$J$5:$J$40)&gt;0),M52,"")</f>
        <v/>
      </c>
      <c r="U52">
        <f>IF(AND(Report!$E$6&lt;&gt;"",COUNT(Spectra!$J$5:$J$40)&gt;0),S52*COS(RADIANS(L52)),"")</f>
        <v/>
      </c>
      <c r="V52">
        <f>IF(AND(Report!$E$6&lt;&gt;"",COUNT(Spectra!$J$5:$J$40)&gt;0),S52*SIN(RADIANS(L52)),"")</f>
        <v/>
      </c>
      <c r="W52">
        <f>IF(AND(Report!$E$6&lt;&gt;"",COUNT(Spectra!$J$5:$J$40)&gt;0),IF(E52/INDEX(Matrices!$B$2:$B$17,C52)&gt;0.008856,(E52/INDEX(Matrices!$B$2:$B$17,C52))^(1/3),7.787*E52/INDEX(Matrices!$B$2:$B$17,C52)+16/116),"")</f>
        <v/>
      </c>
      <c r="X52">
        <f>IF(AND(Report!$E$6&lt;&gt;"",COUNT(Spectra!$J$5:$J$40)&gt;0),IF(F52/INDEX(Matrices!$C$2:$C$17,C52)&gt;0.008856,(F52/INDEX(Matrices!$C$2:$C$17,C52))^(1/3),7.787*F52/INDEX(Matrices!$C$2:$C$17,C52)+16/116),"")</f>
        <v/>
      </c>
      <c r="Y52">
        <f>IF(AND(Report!$E$6&lt;&gt;"",COUNT(Spectra!$J$5:$J$40)&gt;0),IF(G52/INDEX(Matrices!$D$2:$D$17,C52)&gt;0.008856,(G52/INDEX(Matrices!$D$2:$D$17,C52))^(1/3),7.787*G52/INDEX(Matrices!$D$2:$D$17,C52)+16/116),"")</f>
        <v/>
      </c>
      <c r="Z52">
        <f>IF(AND(Report!$E$6&lt;&gt;"",COUNT(Spectra!$J$5:$J$40)&gt;0),116*X52-16,"")</f>
        <v/>
      </c>
      <c r="AA52">
        <f>IF(AND(Report!$E$6&lt;&gt;"",COUNT(Spectra!$J$5:$J$40)&gt;0),500*(W52-X52),"")</f>
        <v/>
      </c>
      <c r="AB52">
        <f>IF(AND(Report!$E$6&lt;&gt;"",COUNT(Spectra!$J$5:$J$40)&gt;0),200*(X52-Y52),"")</f>
        <v/>
      </c>
    </row>
    <row r="53">
      <c r="A53" t="n">
        <v>9</v>
      </c>
      <c r="B53" t="n">
        <v>4</v>
      </c>
      <c r="C53">
        <f>IF(AND(Report!$F$6&lt;&gt;"",COUNT(Spectra!$J$5:$J$40)&gt;0),MATCH(Report!$F$6,Matrices!$A$2:$A$17,0),"")</f>
        <v/>
      </c>
      <c r="D53">
        <f>IF(AND(Report!$F$6&lt;&gt;"",COUNT(Spectra!$J$5:$J$40)&gt;0),MATCH(Report!$F$6,Weights!$B$3:$AW$3,0),"")</f>
        <v/>
      </c>
      <c r="E53">
        <f>IF(AND(Report!$F$6&lt;&gt;"",COUNT(Spectra!$J$5:$J$40)&gt;0),SUMPRODUCT(Spectra!$J$5:$J$40,INDEX(Weights!$B$5:$AW$40,0,D53+0))/Spectra!$N$5,"")</f>
        <v/>
      </c>
      <c r="F53">
        <f>IF(AND(Report!$F$6&lt;&gt;"",COUNT(Spectra!$J$5:$J$40)&gt;0),SUMPRODUCT(Spectra!$J$5:$J$40,INDEX(Weights!$B$5:$AW$40,0,D53+1))/Spectra!$N$5,"")</f>
        <v/>
      </c>
      <c r="G53">
        <f>IF(AND(Report!$F$6&lt;&gt;"",COUNT(Spectra!$J$5:$J$40)&gt;0),SUMPRODUCT(Spectra!$J$5:$J$40,INDEX(Weights!$B$5:$AW$40,0,D53+2))/Spectra!$N$5,"")</f>
        <v/>
      </c>
      <c r="H53">
        <f>IF(AND(Report!$F$6&lt;&gt;"",COUNT(Spectra!$J$5:$J$40)&gt;0),INDEX(Matrices!$E$2:$E$17,C53)*E53+INDEX(Matrices!$F$2:$F$17,C53)*F53+INDEX(Matrices!$G$2:$G$17,C53)*G53,"")</f>
        <v/>
      </c>
      <c r="I53">
        <f>IF(AND(Report!$F$6&lt;&gt;"",COUNT(Spectra!$J$5:$J$40)&gt;0),INDEX(Matrices!$H$2:$H$17,C53)*E53+INDEX(Matrices!$I$2:$I$17,C53)*F53+INDEX(Matrices!$J$2:$J$17,C53)*G53,"")</f>
        <v/>
      </c>
      <c r="J53">
        <f>IF(AND(Report!$F$6&lt;&gt;"",COUNT(Spectra!$J$5:$J$40)&gt;0),INDEX(Matrices!$K$2:$K$17,C53)*E53+INDEX(Matrices!$L$2:$L$17,C53)*F53+INDEX(Matrices!$M$2:$M$17,C53)*G53,"")</f>
        <v/>
      </c>
      <c r="K53">
        <f>IF(AND(Report!$F$6&lt;&gt;"",COUNT(Spectra!$J$5:$J$40)&gt;0),SQRT(I53^2+J53^2),"")</f>
        <v/>
      </c>
      <c r="L53">
        <f>IF(AND(Report!$F$6&lt;&gt;"",COUNT(Spectra!$J$5:$J$40)&gt;0),IF(K53=0,0,MOD(DEGREES(ATAN2(I53,J53)),360)),"")</f>
        <v/>
      </c>
      <c r="M53">
        <f>IF(AND(Report!$F$6&lt;&gt;"",COUNT(Spectra!$J$5:$J$40)&gt;0),IF(H53/100&gt;(6/29)^3,(H53/100)^(1/3),(1/3)*(29/6)^2*H53/100+16/116)*116-16,"")</f>
        <v/>
      </c>
      <c r="N53">
        <f>IF(AND(Report!$F$6&lt;&gt;"",COUNT(Spectra!$J$5:$J$40)&gt;0),EXP(0.026742553710937*(M53-51.576165618406904))/0.45888671875,"")</f>
        <v/>
      </c>
      <c r="O53">
        <f>IF(AND(Report!$F$6&lt;&gt;"",COUNT(Spectra!$J$5:$J$40)&gt;0),K53/N53,"")</f>
        <v/>
      </c>
      <c r="P53">
        <f>IF(AND(Report!$F$6&lt;&gt;"",COUNT(Spectra!$J$5:$J$40)&gt;0),IF(AND(L53&gt;1,L53&lt;181),SIN(RADIANS(L53-1))^3,0)+IF(AND(L53&gt;104,L53&lt;284),0.39*COS(RADIANS(L53-14))^2,0),"")</f>
        <v/>
      </c>
      <c r="Q53">
        <f>IF(AND(Report!$F$6&lt;&gt;"",COUNT(Spectra!$J$5:$J$40)&gt;0),62*(P53+0.31),"")</f>
        <v/>
      </c>
      <c r="R53">
        <f>IF(AND(Report!$F$6&lt;&gt;"",COUNT(Spectra!$J$5:$J$40)&gt;0),0.36*(P53+0.19),"")</f>
        <v/>
      </c>
      <c r="S53">
        <f>IF(AND(Report!$F$6&lt;&gt;"",COUNT(Spectra!$J$5:$J$40)&gt;0),Q53*(LN(O53/80+R53)-LN(R53)),"")</f>
        <v/>
      </c>
      <c r="T53">
        <f>IF(AND(Report!$F$6&lt;&gt;"",COUNT(Spectra!$J$5:$J$40)&gt;0),M53,"")</f>
        <v/>
      </c>
      <c r="U53">
        <f>IF(AND(Report!$F$6&lt;&gt;"",COUNT(Spectra!$J$5:$J$40)&gt;0),S53*COS(RADIANS(L53)),"")</f>
        <v/>
      </c>
      <c r="V53">
        <f>IF(AND(Report!$F$6&lt;&gt;"",COUNT(Spectra!$J$5:$J$40)&gt;0),S53*SIN(RADIANS(L53)),"")</f>
        <v/>
      </c>
      <c r="W53">
        <f>IF(AND(Report!$F$6&lt;&gt;"",COUNT(Spectra!$J$5:$J$40)&gt;0),IF(E53/INDEX(Matrices!$B$2:$B$17,C53)&gt;0.008856,(E53/INDEX(Matrices!$B$2:$B$17,C53))^(1/3),7.787*E53/INDEX(Matrices!$B$2:$B$17,C53)+16/116),"")</f>
        <v/>
      </c>
      <c r="X53">
        <f>IF(AND(Report!$F$6&lt;&gt;"",COUNT(Spectra!$J$5:$J$40)&gt;0),IF(F53/INDEX(Matrices!$C$2:$C$17,C53)&gt;0.008856,(F53/INDEX(Matrices!$C$2:$C$17,C53))^(1/3),7.787*F53/INDEX(Matrices!$C$2:$C$17,C53)+16/116),"")</f>
        <v/>
      </c>
      <c r="Y53">
        <f>IF(AND(Report!$F$6&lt;&gt;"",COUNT(Spectra!$J$5:$J$40)&gt;0),IF(G53/INDEX(Matrices!$D$2:$D$17,C53)&gt;0.008856,(G53/INDEX(Matrices!$D$2:$D$17,C53))^(1/3),7.787*G53/INDEX(Matrices!$D$2:$D$17,C53)+16/116),"")</f>
        <v/>
      </c>
      <c r="Z53">
        <f>IF(AND(Report!$F$6&lt;&gt;"",COUNT(Spectra!$J$5:$J$40)&gt;0),116*X53-16,"")</f>
        <v/>
      </c>
      <c r="AA53">
        <f>IF(AND(Report!$F$6&lt;&gt;"",COUNT(Spectra!$J$5:$J$40)&gt;0),500*(W53-X53),"")</f>
        <v/>
      </c>
      <c r="AB53">
        <f>IF(AND(Report!$F$6&lt;&gt;"",COUNT(Spectra!$J$5:$J$40)&gt;0),200*(X53-Y53),"")</f>
        <v/>
      </c>
    </row>
    <row r="54">
      <c r="A54" t="n">
        <v>9</v>
      </c>
      <c r="B54" t="n">
        <v>5</v>
      </c>
      <c r="C54">
        <f>IF(AND(Report!$G$6&lt;&gt;"",COUNT(Spectra!$J$5:$J$40)&gt;0),MATCH(Report!$G$6,Matrices!$A$2:$A$17,0),"")</f>
        <v/>
      </c>
      <c r="D54">
        <f>IF(AND(Report!$G$6&lt;&gt;"",COUNT(Spectra!$J$5:$J$40)&gt;0),MATCH(Report!$G$6,Weights!$B$3:$AW$3,0),"")</f>
        <v/>
      </c>
      <c r="E54">
        <f>IF(AND(Report!$G$6&lt;&gt;"",COUNT(Spectra!$J$5:$J$40)&gt;0),SUMPRODUCT(Spectra!$J$5:$J$40,INDEX(Weights!$B$5:$AW$40,0,D54+0))/Spectra!$N$5,"")</f>
        <v/>
      </c>
      <c r="F54">
        <f>IF(AND(Report!$G$6&lt;&gt;"",COUNT(Spectra!$J$5:$J$40)&gt;0),SUMPRODUCT(Spectra!$J$5:$J$40,INDEX(Weights!$B$5:$AW$40,0,D54+1))/Spectra!$N$5,"")</f>
        <v/>
      </c>
      <c r="G54">
        <f>IF(AND(Report!$G$6&lt;&gt;"",COUNT(Spectra!$J$5:$J$40)&gt;0),SUMPRODUCT(Spectra!$J$5:$J$40,INDEX(Weights!$B$5:$AW$40,0,D54+2))/Spectra!$N$5,"")</f>
        <v/>
      </c>
      <c r="H54">
        <f>IF(AND(Report!$G$6&lt;&gt;"",COUNT(Spectra!$J$5:$J$40)&gt;0),INDEX(Matrices!$E$2:$E$17,C54)*E54+INDEX(Matrices!$F$2:$F$17,C54)*F54+INDEX(Matrices!$G$2:$G$17,C54)*G54,"")</f>
        <v/>
      </c>
      <c r="I54">
        <f>IF(AND(Report!$G$6&lt;&gt;"",COUNT(Spectra!$J$5:$J$40)&gt;0),INDEX(Matrices!$H$2:$H$17,C54)*E54+INDEX(Matrices!$I$2:$I$17,C54)*F54+INDEX(Matrices!$J$2:$J$17,C54)*G54,"")</f>
        <v/>
      </c>
      <c r="J54">
        <f>IF(AND(Report!$G$6&lt;&gt;"",COUNT(Spectra!$J$5:$J$40)&gt;0),INDEX(Matrices!$K$2:$K$17,C54)*E54+INDEX(Matrices!$L$2:$L$17,C54)*F54+INDEX(Matrices!$M$2:$M$17,C54)*G54,"")</f>
        <v/>
      </c>
      <c r="K54">
        <f>IF(AND(Report!$G$6&lt;&gt;"",COUNT(Spectra!$J$5:$J$40)&gt;0),SQRT(I54^2+J54^2),"")</f>
        <v/>
      </c>
      <c r="L54">
        <f>IF(AND(Report!$G$6&lt;&gt;"",COUNT(Spectra!$J$5:$J$40)&gt;0),IF(K54=0,0,MOD(DEGREES(ATAN2(I54,J54)),360)),"")</f>
        <v/>
      </c>
      <c r="M54">
        <f>IF(AND(Report!$G$6&lt;&gt;"",COUNT(Spectra!$J$5:$J$40)&gt;0),IF(H54/100&gt;(6/29)^3,(H54/100)^(1/3),(1/3)*(29/6)^2*H54/100+16/116)*116-16,"")</f>
        <v/>
      </c>
      <c r="N54">
        <f>IF(AND(Report!$G$6&lt;&gt;"",COUNT(Spectra!$J$5:$J$40)&gt;0),EXP(0.026742553710937*(M54-51.576165618406904))/0.45888671875,"")</f>
        <v/>
      </c>
      <c r="O54">
        <f>IF(AND(Report!$G$6&lt;&gt;"",COUNT(Spectra!$J$5:$J$40)&gt;0),K54/N54,"")</f>
        <v/>
      </c>
      <c r="P54">
        <f>IF(AND(Report!$G$6&lt;&gt;"",COUNT(Spectra!$J$5:$J$40)&gt;0),IF(AND(L54&gt;1,L54&lt;181),SIN(RADIANS(L54-1))^3,0)+IF(AND(L54&gt;104,L54&lt;284),0.39*COS(RADIANS(L54-14))^2,0),"")</f>
        <v/>
      </c>
      <c r="Q54">
        <f>IF(AND(Report!$G$6&lt;&gt;"",COUNT(Spectra!$J$5:$J$40)&gt;0),62*(P54+0.31),"")</f>
        <v/>
      </c>
      <c r="R54">
        <f>IF(AND(Report!$G$6&lt;&gt;"",COUNT(Spectra!$J$5:$J$40)&gt;0),0.36*(P54+0.19),"")</f>
        <v/>
      </c>
      <c r="S54">
        <f>IF(AND(Report!$G$6&lt;&gt;"",COUNT(Spectra!$J$5:$J$40)&gt;0),Q54*(LN(O54/80+R54)-LN(R54)),"")</f>
        <v/>
      </c>
      <c r="T54">
        <f>IF(AND(Report!$G$6&lt;&gt;"",COUNT(Spectra!$J$5:$J$40)&gt;0),M54,"")</f>
        <v/>
      </c>
      <c r="U54">
        <f>IF(AND(Report!$G$6&lt;&gt;"",COUNT(Spectra!$J$5:$J$40)&gt;0),S54*COS(RADIANS(L54)),"")</f>
        <v/>
      </c>
      <c r="V54">
        <f>IF(AND(Report!$G$6&lt;&gt;"",COUNT(Spectra!$J$5:$J$40)&gt;0),S54*SIN(RADIANS(L54)),"")</f>
        <v/>
      </c>
      <c r="W54">
        <f>IF(AND(Report!$G$6&lt;&gt;"",COUNT(Spectra!$J$5:$J$40)&gt;0),IF(E54/INDEX(Matrices!$B$2:$B$17,C54)&gt;0.008856,(E54/INDEX(Matrices!$B$2:$B$17,C54))^(1/3),7.787*E54/INDEX(Matrices!$B$2:$B$17,C54)+16/116),"")</f>
        <v/>
      </c>
      <c r="X54">
        <f>IF(AND(Report!$G$6&lt;&gt;"",COUNT(Spectra!$J$5:$J$40)&gt;0),IF(F54/INDEX(Matrices!$C$2:$C$17,C54)&gt;0.008856,(F54/INDEX(Matrices!$C$2:$C$17,C54))^(1/3),7.787*F54/INDEX(Matrices!$C$2:$C$17,C54)+16/116),"")</f>
        <v/>
      </c>
      <c r="Y54">
        <f>IF(AND(Report!$G$6&lt;&gt;"",COUNT(Spectra!$J$5:$J$40)&gt;0),IF(G54/INDEX(Matrices!$D$2:$D$17,C54)&gt;0.008856,(G54/INDEX(Matrices!$D$2:$D$17,C54))^(1/3),7.787*G54/INDEX(Matrices!$D$2:$D$17,C54)+16/116),"")</f>
        <v/>
      </c>
      <c r="Z54">
        <f>IF(AND(Report!$G$6&lt;&gt;"",COUNT(Spectra!$J$5:$J$40)&gt;0),116*X54-16,"")</f>
        <v/>
      </c>
      <c r="AA54">
        <f>IF(AND(Report!$G$6&lt;&gt;"",COUNT(Spectra!$J$5:$J$40)&gt;0),500*(W54-X54),"")</f>
        <v/>
      </c>
      <c r="AB54">
        <f>IF(AND(Report!$G$6&lt;&gt;"",COUNT(Spectra!$J$5:$J$40)&gt;0),200*(X54-Y54),"")</f>
        <v/>
      </c>
    </row>
    <row r="55">
      <c r="A55" t="n">
        <v>9</v>
      </c>
      <c r="B55" t="n">
        <v>6</v>
      </c>
      <c r="C55">
        <f>IF(AND(Report!$H$6&lt;&gt;"",COUNT(Spectra!$J$5:$J$40)&gt;0),MATCH(Report!$H$6,Matrices!$A$2:$A$17,0),"")</f>
        <v/>
      </c>
      <c r="D55">
        <f>IF(AND(Report!$H$6&lt;&gt;"",COUNT(Spectra!$J$5:$J$40)&gt;0),MATCH(Report!$H$6,Weights!$B$3:$AW$3,0),"")</f>
        <v/>
      </c>
      <c r="E55">
        <f>IF(AND(Report!$H$6&lt;&gt;"",COUNT(Spectra!$J$5:$J$40)&gt;0),SUMPRODUCT(Spectra!$J$5:$J$40,INDEX(Weights!$B$5:$AW$40,0,D55+0))/Spectra!$N$5,"")</f>
        <v/>
      </c>
      <c r="F55">
        <f>IF(AND(Report!$H$6&lt;&gt;"",COUNT(Spectra!$J$5:$J$40)&gt;0),SUMPRODUCT(Spectra!$J$5:$J$40,INDEX(Weights!$B$5:$AW$40,0,D55+1))/Spectra!$N$5,"")</f>
        <v/>
      </c>
      <c r="G55">
        <f>IF(AND(Report!$H$6&lt;&gt;"",COUNT(Spectra!$J$5:$J$40)&gt;0),SUMPRODUCT(Spectra!$J$5:$J$40,INDEX(Weights!$B$5:$AW$40,0,D55+2))/Spectra!$N$5,"")</f>
        <v/>
      </c>
      <c r="H55">
        <f>IF(AND(Report!$H$6&lt;&gt;"",COUNT(Spectra!$J$5:$J$40)&gt;0),INDEX(Matrices!$E$2:$E$17,C55)*E55+INDEX(Matrices!$F$2:$F$17,C55)*F55+INDEX(Matrices!$G$2:$G$17,C55)*G55,"")</f>
        <v/>
      </c>
      <c r="I55">
        <f>IF(AND(Report!$H$6&lt;&gt;"",COUNT(Spectra!$J$5:$J$40)&gt;0),INDEX(Matrices!$H$2:$H$17,C55)*E55+INDEX(Matrices!$I$2:$I$17,C55)*F55+INDEX(Matrices!$J$2:$J$17,C55)*G55,"")</f>
        <v/>
      </c>
      <c r="J55">
        <f>IF(AND(Report!$H$6&lt;&gt;"",COUNT(Spectra!$J$5:$J$40)&gt;0),INDEX(Matrices!$K$2:$K$17,C55)*E55+INDEX(Matrices!$L$2:$L$17,C55)*F55+INDEX(Matrices!$M$2:$M$17,C55)*G55,"")</f>
        <v/>
      </c>
      <c r="K55">
        <f>IF(AND(Report!$H$6&lt;&gt;"",COUNT(Spectra!$J$5:$J$40)&gt;0),SQRT(I55^2+J55^2),"")</f>
        <v/>
      </c>
      <c r="L55">
        <f>IF(AND(Report!$H$6&lt;&gt;"",COUNT(Spectra!$J$5:$J$40)&gt;0),IF(K55=0,0,MOD(DEGREES(ATAN2(I55,J55)),360)),"")</f>
        <v/>
      </c>
      <c r="M55">
        <f>IF(AND(Report!$H$6&lt;&gt;"",COUNT(Spectra!$J$5:$J$40)&gt;0),IF(H55/100&gt;(6/29)^3,(H55/100)^(1/3),(1/3)*(29/6)^2*H55/100+16/116)*116-16,"")</f>
        <v/>
      </c>
      <c r="N55">
        <f>IF(AND(Report!$H$6&lt;&gt;"",COUNT(Spectra!$J$5:$J$40)&gt;0),EXP(0.026742553710937*(M55-51.576165618406904))/0.45888671875,"")</f>
        <v/>
      </c>
      <c r="O55">
        <f>IF(AND(Report!$H$6&lt;&gt;"",COUNT(Spectra!$J$5:$J$40)&gt;0),K55/N55,"")</f>
        <v/>
      </c>
      <c r="P55">
        <f>IF(AND(Report!$H$6&lt;&gt;"",COUNT(Spectra!$J$5:$J$40)&gt;0),IF(AND(L55&gt;1,L55&lt;181),SIN(RADIANS(L55-1))^3,0)+IF(AND(L55&gt;104,L55&lt;284),0.39*COS(RADIANS(L55-14))^2,0),"")</f>
        <v/>
      </c>
      <c r="Q55">
        <f>IF(AND(Report!$H$6&lt;&gt;"",COUNT(Spectra!$J$5:$J$40)&gt;0),62*(P55+0.31),"")</f>
        <v/>
      </c>
      <c r="R55">
        <f>IF(AND(Report!$H$6&lt;&gt;"",COUNT(Spectra!$J$5:$J$40)&gt;0),0.36*(P55+0.19),"")</f>
        <v/>
      </c>
      <c r="S55">
        <f>IF(AND(Report!$H$6&lt;&gt;"",COUNT(Spectra!$J$5:$J$40)&gt;0),Q55*(LN(O55/80+R55)-LN(R55)),"")</f>
        <v/>
      </c>
      <c r="T55">
        <f>IF(AND(Report!$H$6&lt;&gt;"",COUNT(Spectra!$J$5:$J$40)&gt;0),M55,"")</f>
        <v/>
      </c>
      <c r="U55">
        <f>IF(AND(Report!$H$6&lt;&gt;"",COUNT(Spectra!$J$5:$J$40)&gt;0),S55*COS(RADIANS(L55)),"")</f>
        <v/>
      </c>
      <c r="V55">
        <f>IF(AND(Report!$H$6&lt;&gt;"",COUNT(Spectra!$J$5:$J$40)&gt;0),S55*SIN(RADIANS(L55)),"")</f>
        <v/>
      </c>
      <c r="W55">
        <f>IF(AND(Report!$H$6&lt;&gt;"",COUNT(Spectra!$J$5:$J$40)&gt;0),IF(E55/INDEX(Matrices!$B$2:$B$17,C55)&gt;0.008856,(E55/INDEX(Matrices!$B$2:$B$17,C55))^(1/3),7.787*E55/INDEX(Matrices!$B$2:$B$17,C55)+16/116),"")</f>
        <v/>
      </c>
      <c r="X55">
        <f>IF(AND(Report!$H$6&lt;&gt;"",COUNT(Spectra!$J$5:$J$40)&gt;0),IF(F55/INDEX(Matrices!$C$2:$C$17,C55)&gt;0.008856,(F55/INDEX(Matrices!$C$2:$C$17,C55))^(1/3),7.787*F55/INDEX(Matrices!$C$2:$C$17,C55)+16/116),"")</f>
        <v/>
      </c>
      <c r="Y55">
        <f>IF(AND(Report!$H$6&lt;&gt;"",COUNT(Spectra!$J$5:$J$40)&gt;0),IF(G55/INDEX(Matrices!$D$2:$D$17,C55)&gt;0.008856,(G55/INDEX(Matrices!$D$2:$D$17,C55))^(1/3),7.787*G55/INDEX(Matrices!$D$2:$D$17,C55)+16/116),"")</f>
        <v/>
      </c>
      <c r="Z55">
        <f>IF(AND(Report!$H$6&lt;&gt;"",COUNT(Spectra!$J$5:$J$40)&gt;0),116*X55-16,"")</f>
        <v/>
      </c>
      <c r="AA55">
        <f>IF(AND(Report!$H$6&lt;&gt;"",COUNT(Spectra!$J$5:$J$40)&gt;0),500*(W55-X55),"")</f>
        <v/>
      </c>
      <c r="AB55">
        <f>IF(AND(Report!$H$6&lt;&gt;"",COUNT(Spectra!$J$5:$J$40)&gt;0),200*(X55-Y55),"")</f>
        <v/>
      </c>
    </row>
    <row r="56">
      <c r="A56" t="n">
        <v>10</v>
      </c>
      <c r="B56" t="n">
        <v>1</v>
      </c>
      <c r="C56">
        <f>IF(AND(Report!$C$6&lt;&gt;"",COUNT(Spectra!$K$5:$K$40)&gt;0),MATCH(Report!$C$6,Matrices!$A$2:$A$17,0),"")</f>
        <v/>
      </c>
      <c r="D56">
        <f>IF(AND(Report!$C$6&lt;&gt;"",COUNT(Spectra!$K$5:$K$40)&gt;0),MATCH(Report!$C$6,Weights!$B$3:$AW$3,0),"")</f>
        <v/>
      </c>
      <c r="E56">
        <f>IF(AND(Report!$C$6&lt;&gt;"",COUNT(Spectra!$K$5:$K$40)&gt;0),SUMPRODUCT(Spectra!$K$5:$K$40,INDEX(Weights!$B$5:$AW$40,0,D56+0))/Spectra!$N$5,"")</f>
        <v/>
      </c>
      <c r="F56">
        <f>IF(AND(Report!$C$6&lt;&gt;"",COUNT(Spectra!$K$5:$K$40)&gt;0),SUMPRODUCT(Spectra!$K$5:$K$40,INDEX(Weights!$B$5:$AW$40,0,D56+1))/Spectra!$N$5,"")</f>
        <v/>
      </c>
      <c r="G56">
        <f>IF(AND(Report!$C$6&lt;&gt;"",COUNT(Spectra!$K$5:$K$40)&gt;0),SUMPRODUCT(Spectra!$K$5:$K$40,INDEX(Weights!$B$5:$AW$40,0,D56+2))/Spectra!$N$5,"")</f>
        <v/>
      </c>
      <c r="H56">
        <f>IF(AND(Report!$C$6&lt;&gt;"",COUNT(Spectra!$K$5:$K$40)&gt;0),INDEX(Matrices!$E$2:$E$17,C56)*E56+INDEX(Matrices!$F$2:$F$17,C56)*F56+INDEX(Matrices!$G$2:$G$17,C56)*G56,"")</f>
        <v/>
      </c>
      <c r="I56">
        <f>IF(AND(Report!$C$6&lt;&gt;"",COUNT(Spectra!$K$5:$K$40)&gt;0),INDEX(Matrices!$H$2:$H$17,C56)*E56+INDEX(Matrices!$I$2:$I$17,C56)*F56+INDEX(Matrices!$J$2:$J$17,C56)*G56,"")</f>
        <v/>
      </c>
      <c r="J56">
        <f>IF(AND(Report!$C$6&lt;&gt;"",COUNT(Spectra!$K$5:$K$40)&gt;0),INDEX(Matrices!$K$2:$K$17,C56)*E56+INDEX(Matrices!$L$2:$L$17,C56)*F56+INDEX(Matrices!$M$2:$M$17,C56)*G56,"")</f>
        <v/>
      </c>
      <c r="K56">
        <f>IF(AND(Report!$C$6&lt;&gt;"",COUNT(Spectra!$K$5:$K$40)&gt;0),SQRT(I56^2+J56^2),"")</f>
        <v/>
      </c>
      <c r="L56">
        <f>IF(AND(Report!$C$6&lt;&gt;"",COUNT(Spectra!$K$5:$K$40)&gt;0),IF(K56=0,0,MOD(DEGREES(ATAN2(I56,J56)),360)),"")</f>
        <v/>
      </c>
      <c r="M56">
        <f>IF(AND(Report!$C$6&lt;&gt;"",COUNT(Spectra!$K$5:$K$40)&gt;0),IF(H56/100&gt;(6/29)^3,(H56/100)^(1/3),(1/3)*(29/6)^2*H56/100+16/116)*116-16,"")</f>
        <v/>
      </c>
      <c r="N56">
        <f>IF(AND(Report!$C$6&lt;&gt;"",COUNT(Spectra!$K$5:$K$40)&gt;0),EXP(0.026742553710937*(M56-51.576165618406904))/0.45888671875,"")</f>
        <v/>
      </c>
      <c r="O56">
        <f>IF(AND(Report!$C$6&lt;&gt;"",COUNT(Spectra!$K$5:$K$40)&gt;0),K56/N56,"")</f>
        <v/>
      </c>
      <c r="P56">
        <f>IF(AND(Report!$C$6&lt;&gt;"",COUNT(Spectra!$K$5:$K$40)&gt;0),IF(AND(L56&gt;1,L56&lt;181),SIN(RADIANS(L56-1))^3,0)+IF(AND(L56&gt;104,L56&lt;284),0.39*COS(RADIANS(L56-14))^2,0),"")</f>
        <v/>
      </c>
      <c r="Q56">
        <f>IF(AND(Report!$C$6&lt;&gt;"",COUNT(Spectra!$K$5:$K$40)&gt;0),62*(P56+0.31),"")</f>
        <v/>
      </c>
      <c r="R56">
        <f>IF(AND(Report!$C$6&lt;&gt;"",COUNT(Spectra!$K$5:$K$40)&gt;0),0.36*(P56+0.19),"")</f>
        <v/>
      </c>
      <c r="S56">
        <f>IF(AND(Report!$C$6&lt;&gt;"",COUNT(Spectra!$K$5:$K$40)&gt;0),Q56*(LN(O56/80+R56)-LN(R56)),"")</f>
        <v/>
      </c>
      <c r="T56">
        <f>IF(AND(Report!$C$6&lt;&gt;"",COUNT(Spectra!$K$5:$K$40)&gt;0),M56,"")</f>
        <v/>
      </c>
      <c r="U56">
        <f>IF(AND(Report!$C$6&lt;&gt;"",COUNT(Spectra!$K$5:$K$40)&gt;0),S56*COS(RADIANS(L56)),"")</f>
        <v/>
      </c>
      <c r="V56">
        <f>IF(AND(Report!$C$6&lt;&gt;"",COUNT(Spectra!$K$5:$K$40)&gt;0),S56*SIN(RADIANS(L56)),"")</f>
        <v/>
      </c>
      <c r="W56">
        <f>IF(AND(Report!$C$6&lt;&gt;"",COUNT(Spectra!$K$5:$K$40)&gt;0),IF(E56/INDEX(Matrices!$B$2:$B$17,C56)&gt;0.008856,(E56/INDEX(Matrices!$B$2:$B$17,C56))^(1/3),7.787*E56/INDEX(Matrices!$B$2:$B$17,C56)+16/116),"")</f>
        <v/>
      </c>
      <c r="X56">
        <f>IF(AND(Report!$C$6&lt;&gt;"",COUNT(Spectra!$K$5:$K$40)&gt;0),IF(F56/INDEX(Matrices!$C$2:$C$17,C56)&gt;0.008856,(F56/INDEX(Matrices!$C$2:$C$17,C56))^(1/3),7.787*F56/INDEX(Matrices!$C$2:$C$17,C56)+16/116),"")</f>
        <v/>
      </c>
      <c r="Y56">
        <f>IF(AND(Report!$C$6&lt;&gt;"",COUNT(Spectra!$K$5:$K$40)&gt;0),IF(G56/INDEX(Matrices!$D$2:$D$17,C56)&gt;0.008856,(G56/INDEX(Matrices!$D$2:$D$17,C56))^(1/3),7.787*G56/INDEX(Matrices!$D$2:$D$17,C56)+16/116),"")</f>
        <v/>
      </c>
      <c r="Z56">
        <f>IF(AND(Report!$C$6&lt;&gt;"",COUNT(Spectra!$K$5:$K$40)&gt;0),116*X56-16,"")</f>
        <v/>
      </c>
      <c r="AA56">
        <f>IF(AND(Report!$C$6&lt;&gt;"",COUNT(Spectra!$K$5:$K$40)&gt;0),500*(W56-X56),"")</f>
        <v/>
      </c>
      <c r="AB56">
        <f>IF(AND(Report!$C$6&lt;&gt;"",COUNT(Spectra!$K$5:$K$40)&gt;0),200*(X56-Y56),"")</f>
        <v/>
      </c>
    </row>
    <row r="57">
      <c r="A57" t="n">
        <v>10</v>
      </c>
      <c r="B57" t="n">
        <v>2</v>
      </c>
      <c r="C57">
        <f>IF(AND(Report!$D$6&lt;&gt;"",COUNT(Spectra!$K$5:$K$40)&gt;0),MATCH(Report!$D$6,Matrices!$A$2:$A$17,0),"")</f>
        <v/>
      </c>
      <c r="D57">
        <f>IF(AND(Report!$D$6&lt;&gt;"",COUNT(Spectra!$K$5:$K$40)&gt;0),MATCH(Report!$D$6,Weights!$B$3:$AW$3,0),"")</f>
        <v/>
      </c>
      <c r="E57">
        <f>IF(AND(Report!$D$6&lt;&gt;"",COUNT(Spectra!$K$5:$K$40)&gt;0),SUMPRODUCT(Spectra!$K$5:$K$40,INDEX(Weights!$B$5:$AW$40,0,D57+0))/Spectra!$N$5,"")</f>
        <v/>
      </c>
      <c r="F57">
        <f>IF(AND(Report!$D$6&lt;&gt;"",COUNT(Spectra!$K$5:$K$40)&gt;0),SUMPRODUCT(Spectra!$K$5:$K$40,INDEX(Weights!$B$5:$AW$40,0,D57+1))/Spectra!$N$5,"")</f>
        <v/>
      </c>
      <c r="G57">
        <f>IF(AND(Report!$D$6&lt;&gt;"",COUNT(Spectra!$K$5:$K$40)&gt;0),SUMPRODUCT(Spectra!$K$5:$K$40,INDEX(Weights!$B$5:$AW$40,0,D57+2))/Spectra!$N$5,"")</f>
        <v/>
      </c>
      <c r="H57">
        <f>IF(AND(Report!$D$6&lt;&gt;"",COUNT(Spectra!$K$5:$K$40)&gt;0),INDEX(Matrices!$E$2:$E$17,C57)*E57+INDEX(Matrices!$F$2:$F$17,C57)*F57+INDEX(Matrices!$G$2:$G$17,C57)*G57,"")</f>
        <v/>
      </c>
      <c r="I57">
        <f>IF(AND(Report!$D$6&lt;&gt;"",COUNT(Spectra!$K$5:$K$40)&gt;0),INDEX(Matrices!$H$2:$H$17,C57)*E57+INDEX(Matrices!$I$2:$I$17,C57)*F57+INDEX(Matrices!$J$2:$J$17,C57)*G57,"")</f>
        <v/>
      </c>
      <c r="J57">
        <f>IF(AND(Report!$D$6&lt;&gt;"",COUNT(Spectra!$K$5:$K$40)&gt;0),INDEX(Matrices!$K$2:$K$17,C57)*E57+INDEX(Matrices!$L$2:$L$17,C57)*F57+INDEX(Matrices!$M$2:$M$17,C57)*G57,"")</f>
        <v/>
      </c>
      <c r="K57">
        <f>IF(AND(Report!$D$6&lt;&gt;"",COUNT(Spectra!$K$5:$K$40)&gt;0),SQRT(I57^2+J57^2),"")</f>
        <v/>
      </c>
      <c r="L57">
        <f>IF(AND(Report!$D$6&lt;&gt;"",COUNT(Spectra!$K$5:$K$40)&gt;0),IF(K57=0,0,MOD(DEGREES(ATAN2(I57,J57)),360)),"")</f>
        <v/>
      </c>
      <c r="M57">
        <f>IF(AND(Report!$D$6&lt;&gt;"",COUNT(Spectra!$K$5:$K$40)&gt;0),IF(H57/100&gt;(6/29)^3,(H57/100)^(1/3),(1/3)*(29/6)^2*H57/100+16/116)*116-16,"")</f>
        <v/>
      </c>
      <c r="N57">
        <f>IF(AND(Report!$D$6&lt;&gt;"",COUNT(Spectra!$K$5:$K$40)&gt;0),EXP(0.026742553710937*(M57-51.576165618406904))/0.45888671875,"")</f>
        <v/>
      </c>
      <c r="O57">
        <f>IF(AND(Report!$D$6&lt;&gt;"",COUNT(Spectra!$K$5:$K$40)&gt;0),K57/N57,"")</f>
        <v/>
      </c>
      <c r="P57">
        <f>IF(AND(Report!$D$6&lt;&gt;"",COUNT(Spectra!$K$5:$K$40)&gt;0),IF(AND(L57&gt;1,L57&lt;181),SIN(RADIANS(L57-1))^3,0)+IF(AND(L57&gt;104,L57&lt;284),0.39*COS(RADIANS(L57-14))^2,0),"")</f>
        <v/>
      </c>
      <c r="Q57">
        <f>IF(AND(Report!$D$6&lt;&gt;"",COUNT(Spectra!$K$5:$K$40)&gt;0),62*(P57+0.31),"")</f>
        <v/>
      </c>
      <c r="R57">
        <f>IF(AND(Report!$D$6&lt;&gt;"",COUNT(Spectra!$K$5:$K$40)&gt;0),0.36*(P57+0.19),"")</f>
        <v/>
      </c>
      <c r="S57">
        <f>IF(AND(Report!$D$6&lt;&gt;"",COUNT(Spectra!$K$5:$K$40)&gt;0),Q57*(LN(O57/80+R57)-LN(R57)),"")</f>
        <v/>
      </c>
      <c r="T57">
        <f>IF(AND(Report!$D$6&lt;&gt;"",COUNT(Spectra!$K$5:$K$40)&gt;0),M57,"")</f>
        <v/>
      </c>
      <c r="U57">
        <f>IF(AND(Report!$D$6&lt;&gt;"",COUNT(Spectra!$K$5:$K$40)&gt;0),S57*COS(RADIANS(L57)),"")</f>
        <v/>
      </c>
      <c r="V57">
        <f>IF(AND(Report!$D$6&lt;&gt;"",COUNT(Spectra!$K$5:$K$40)&gt;0),S57*SIN(RADIANS(L57)),"")</f>
        <v/>
      </c>
      <c r="W57">
        <f>IF(AND(Report!$D$6&lt;&gt;"",COUNT(Spectra!$K$5:$K$40)&gt;0),IF(E57/INDEX(Matrices!$B$2:$B$17,C57)&gt;0.008856,(E57/INDEX(Matrices!$B$2:$B$17,C57))^(1/3),7.787*E57/INDEX(Matrices!$B$2:$B$17,C57)+16/116),"")</f>
        <v/>
      </c>
      <c r="X57">
        <f>IF(AND(Report!$D$6&lt;&gt;"",COUNT(Spectra!$K$5:$K$40)&gt;0),IF(F57/INDEX(Matrices!$C$2:$C$17,C57)&gt;0.008856,(F57/INDEX(Matrices!$C$2:$C$17,C57))^(1/3),7.787*F57/INDEX(Matrices!$C$2:$C$17,C57)+16/116),"")</f>
        <v/>
      </c>
      <c r="Y57">
        <f>IF(AND(Report!$D$6&lt;&gt;"",COUNT(Spectra!$K$5:$K$40)&gt;0),IF(G57/INDEX(Matrices!$D$2:$D$17,C57)&gt;0.008856,(G57/INDEX(Matrices!$D$2:$D$17,C57))^(1/3),7.787*G57/INDEX(Matrices!$D$2:$D$17,C57)+16/116),"")</f>
        <v/>
      </c>
      <c r="Z57">
        <f>IF(AND(Report!$D$6&lt;&gt;"",COUNT(Spectra!$K$5:$K$40)&gt;0),116*X57-16,"")</f>
        <v/>
      </c>
      <c r="AA57">
        <f>IF(AND(Report!$D$6&lt;&gt;"",COUNT(Spectra!$K$5:$K$40)&gt;0),500*(W57-X57),"")</f>
        <v/>
      </c>
      <c r="AB57">
        <f>IF(AND(Report!$D$6&lt;&gt;"",COUNT(Spectra!$K$5:$K$40)&gt;0),200*(X57-Y57),"")</f>
        <v/>
      </c>
    </row>
    <row r="58">
      <c r="A58" t="n">
        <v>10</v>
      </c>
      <c r="B58" t="n">
        <v>3</v>
      </c>
      <c r="C58">
        <f>IF(AND(Report!$E$6&lt;&gt;"",COUNT(Spectra!$K$5:$K$40)&gt;0),MATCH(Report!$E$6,Matrices!$A$2:$A$17,0),"")</f>
        <v/>
      </c>
      <c r="D58">
        <f>IF(AND(Report!$E$6&lt;&gt;"",COUNT(Spectra!$K$5:$K$40)&gt;0),MATCH(Report!$E$6,Weights!$B$3:$AW$3,0),"")</f>
        <v/>
      </c>
      <c r="E58">
        <f>IF(AND(Report!$E$6&lt;&gt;"",COUNT(Spectra!$K$5:$K$40)&gt;0),SUMPRODUCT(Spectra!$K$5:$K$40,INDEX(Weights!$B$5:$AW$40,0,D58+0))/Spectra!$N$5,"")</f>
        <v/>
      </c>
      <c r="F58">
        <f>IF(AND(Report!$E$6&lt;&gt;"",COUNT(Spectra!$K$5:$K$40)&gt;0),SUMPRODUCT(Spectra!$K$5:$K$40,INDEX(Weights!$B$5:$AW$40,0,D58+1))/Spectra!$N$5,"")</f>
        <v/>
      </c>
      <c r="G58">
        <f>IF(AND(Report!$E$6&lt;&gt;"",COUNT(Spectra!$K$5:$K$40)&gt;0),SUMPRODUCT(Spectra!$K$5:$K$40,INDEX(Weights!$B$5:$AW$40,0,D58+2))/Spectra!$N$5,"")</f>
        <v/>
      </c>
      <c r="H58">
        <f>IF(AND(Report!$E$6&lt;&gt;"",COUNT(Spectra!$K$5:$K$40)&gt;0),INDEX(Matrices!$E$2:$E$17,C58)*E58+INDEX(Matrices!$F$2:$F$17,C58)*F58+INDEX(Matrices!$G$2:$G$17,C58)*G58,"")</f>
        <v/>
      </c>
      <c r="I58">
        <f>IF(AND(Report!$E$6&lt;&gt;"",COUNT(Spectra!$K$5:$K$40)&gt;0),INDEX(Matrices!$H$2:$H$17,C58)*E58+INDEX(Matrices!$I$2:$I$17,C58)*F58+INDEX(Matrices!$J$2:$J$17,C58)*G58,"")</f>
        <v/>
      </c>
      <c r="J58">
        <f>IF(AND(Report!$E$6&lt;&gt;"",COUNT(Spectra!$K$5:$K$40)&gt;0),INDEX(Matrices!$K$2:$K$17,C58)*E58+INDEX(Matrices!$L$2:$L$17,C58)*F58+INDEX(Matrices!$M$2:$M$17,C58)*G58,"")</f>
        <v/>
      </c>
      <c r="K58">
        <f>IF(AND(Report!$E$6&lt;&gt;"",COUNT(Spectra!$K$5:$K$40)&gt;0),SQRT(I58^2+J58^2),"")</f>
        <v/>
      </c>
      <c r="L58">
        <f>IF(AND(Report!$E$6&lt;&gt;"",COUNT(Spectra!$K$5:$K$40)&gt;0),IF(K58=0,0,MOD(DEGREES(ATAN2(I58,J58)),360)),"")</f>
        <v/>
      </c>
      <c r="M58">
        <f>IF(AND(Report!$E$6&lt;&gt;"",COUNT(Spectra!$K$5:$K$40)&gt;0),IF(H58/100&gt;(6/29)^3,(H58/100)^(1/3),(1/3)*(29/6)^2*H58/100+16/116)*116-16,"")</f>
        <v/>
      </c>
      <c r="N58">
        <f>IF(AND(Report!$E$6&lt;&gt;"",COUNT(Spectra!$K$5:$K$40)&gt;0),EXP(0.026742553710937*(M58-51.576165618406904))/0.45888671875,"")</f>
        <v/>
      </c>
      <c r="O58">
        <f>IF(AND(Report!$E$6&lt;&gt;"",COUNT(Spectra!$K$5:$K$40)&gt;0),K58/N58,"")</f>
        <v/>
      </c>
      <c r="P58">
        <f>IF(AND(Report!$E$6&lt;&gt;"",COUNT(Spectra!$K$5:$K$40)&gt;0),IF(AND(L58&gt;1,L58&lt;181),SIN(RADIANS(L58-1))^3,0)+IF(AND(L58&gt;104,L58&lt;284),0.39*COS(RADIANS(L58-14))^2,0),"")</f>
        <v/>
      </c>
      <c r="Q58">
        <f>IF(AND(Report!$E$6&lt;&gt;"",COUNT(Spectra!$K$5:$K$40)&gt;0),62*(P58+0.31),"")</f>
        <v/>
      </c>
      <c r="R58">
        <f>IF(AND(Report!$E$6&lt;&gt;"",COUNT(Spectra!$K$5:$K$40)&gt;0),0.36*(P58+0.19),"")</f>
        <v/>
      </c>
      <c r="S58">
        <f>IF(AND(Report!$E$6&lt;&gt;"",COUNT(Spectra!$K$5:$K$40)&gt;0),Q58*(LN(O58/80+R58)-LN(R58)),"")</f>
        <v/>
      </c>
      <c r="T58">
        <f>IF(AND(Report!$E$6&lt;&gt;"",COUNT(Spectra!$K$5:$K$40)&gt;0),M58,"")</f>
        <v/>
      </c>
      <c r="U58">
        <f>IF(AND(Report!$E$6&lt;&gt;"",COUNT(Spectra!$K$5:$K$40)&gt;0),S58*COS(RADIANS(L58)),"")</f>
        <v/>
      </c>
      <c r="V58">
        <f>IF(AND(Report!$E$6&lt;&gt;"",COUNT(Spectra!$K$5:$K$40)&gt;0),S58*SIN(RADIANS(L58)),"")</f>
        <v/>
      </c>
      <c r="W58">
        <f>IF(AND(Report!$E$6&lt;&gt;"",COUNT(Spectra!$K$5:$K$40)&gt;0),IF(E58/INDEX(Matrices!$B$2:$B$17,C58)&gt;0.008856,(E58/INDEX(Matrices!$B$2:$B$17,C58))^(1/3),7.787*E58/INDEX(Matrices!$B$2:$B$17,C58)+16/116),"")</f>
        <v/>
      </c>
      <c r="X58">
        <f>IF(AND(Report!$E$6&lt;&gt;"",COUNT(Spectra!$K$5:$K$40)&gt;0),IF(F58/INDEX(Matrices!$C$2:$C$17,C58)&gt;0.008856,(F58/INDEX(Matrices!$C$2:$C$17,C58))^(1/3),7.787*F58/INDEX(Matrices!$C$2:$C$17,C58)+16/116),"")</f>
        <v/>
      </c>
      <c r="Y58">
        <f>IF(AND(Report!$E$6&lt;&gt;"",COUNT(Spectra!$K$5:$K$40)&gt;0),IF(G58/INDEX(Matrices!$D$2:$D$17,C58)&gt;0.008856,(G58/INDEX(Matrices!$D$2:$D$17,C58))^(1/3),7.787*G58/INDEX(Matrices!$D$2:$D$17,C58)+16/116),"")</f>
        <v/>
      </c>
      <c r="Z58">
        <f>IF(AND(Report!$E$6&lt;&gt;"",COUNT(Spectra!$K$5:$K$40)&gt;0),116*X58-16,"")</f>
        <v/>
      </c>
      <c r="AA58">
        <f>IF(AND(Report!$E$6&lt;&gt;"",COUNT(Spectra!$K$5:$K$40)&gt;0),500*(W58-X58),"")</f>
        <v/>
      </c>
      <c r="AB58">
        <f>IF(AND(Report!$E$6&lt;&gt;"",COUNT(Spectra!$K$5:$K$40)&gt;0),200*(X58-Y58),"")</f>
        <v/>
      </c>
    </row>
    <row r="59">
      <c r="A59" t="n">
        <v>10</v>
      </c>
      <c r="B59" t="n">
        <v>4</v>
      </c>
      <c r="C59">
        <f>IF(AND(Report!$F$6&lt;&gt;"",COUNT(Spectra!$K$5:$K$40)&gt;0),MATCH(Report!$F$6,Matrices!$A$2:$A$17,0),"")</f>
        <v/>
      </c>
      <c r="D59">
        <f>IF(AND(Report!$F$6&lt;&gt;"",COUNT(Spectra!$K$5:$K$40)&gt;0),MATCH(Report!$F$6,Weights!$B$3:$AW$3,0),"")</f>
        <v/>
      </c>
      <c r="E59">
        <f>IF(AND(Report!$F$6&lt;&gt;"",COUNT(Spectra!$K$5:$K$40)&gt;0),SUMPRODUCT(Spectra!$K$5:$K$40,INDEX(Weights!$B$5:$AW$40,0,D59+0))/Spectra!$N$5,"")</f>
        <v/>
      </c>
      <c r="F59">
        <f>IF(AND(Report!$F$6&lt;&gt;"",COUNT(Spectra!$K$5:$K$40)&gt;0),SUMPRODUCT(Spectra!$K$5:$K$40,INDEX(Weights!$B$5:$AW$40,0,D59+1))/Spectra!$N$5,"")</f>
        <v/>
      </c>
      <c r="G59">
        <f>IF(AND(Report!$F$6&lt;&gt;"",COUNT(Spectra!$K$5:$K$40)&gt;0),SUMPRODUCT(Spectra!$K$5:$K$40,INDEX(Weights!$B$5:$AW$40,0,D59+2))/Spectra!$N$5,"")</f>
        <v/>
      </c>
      <c r="H59">
        <f>IF(AND(Report!$F$6&lt;&gt;"",COUNT(Spectra!$K$5:$K$40)&gt;0),INDEX(Matrices!$E$2:$E$17,C59)*E59+INDEX(Matrices!$F$2:$F$17,C59)*F59+INDEX(Matrices!$G$2:$G$17,C59)*G59,"")</f>
        <v/>
      </c>
      <c r="I59">
        <f>IF(AND(Report!$F$6&lt;&gt;"",COUNT(Spectra!$K$5:$K$40)&gt;0),INDEX(Matrices!$H$2:$H$17,C59)*E59+INDEX(Matrices!$I$2:$I$17,C59)*F59+INDEX(Matrices!$J$2:$J$17,C59)*G59,"")</f>
        <v/>
      </c>
      <c r="J59">
        <f>IF(AND(Report!$F$6&lt;&gt;"",COUNT(Spectra!$K$5:$K$40)&gt;0),INDEX(Matrices!$K$2:$K$17,C59)*E59+INDEX(Matrices!$L$2:$L$17,C59)*F59+INDEX(Matrices!$M$2:$M$17,C59)*G59,"")</f>
        <v/>
      </c>
      <c r="K59">
        <f>IF(AND(Report!$F$6&lt;&gt;"",COUNT(Spectra!$K$5:$K$40)&gt;0),SQRT(I59^2+J59^2),"")</f>
        <v/>
      </c>
      <c r="L59">
        <f>IF(AND(Report!$F$6&lt;&gt;"",COUNT(Spectra!$K$5:$K$40)&gt;0),IF(K59=0,0,MOD(DEGREES(ATAN2(I59,J59)),360)),"")</f>
        <v/>
      </c>
      <c r="M59">
        <f>IF(AND(Report!$F$6&lt;&gt;"",COUNT(Spectra!$K$5:$K$40)&gt;0),IF(H59/100&gt;(6/29)^3,(H59/100)^(1/3),(1/3)*(29/6)^2*H59/100+16/116)*116-16,"")</f>
        <v/>
      </c>
      <c r="N59">
        <f>IF(AND(Report!$F$6&lt;&gt;"",COUNT(Spectra!$K$5:$K$40)&gt;0),EXP(0.026742553710937*(M59-51.576165618406904))/0.45888671875,"")</f>
        <v/>
      </c>
      <c r="O59">
        <f>IF(AND(Report!$F$6&lt;&gt;"",COUNT(Spectra!$K$5:$K$40)&gt;0),K59/N59,"")</f>
        <v/>
      </c>
      <c r="P59">
        <f>IF(AND(Report!$F$6&lt;&gt;"",COUNT(Spectra!$K$5:$K$40)&gt;0),IF(AND(L59&gt;1,L59&lt;181),SIN(RADIANS(L59-1))^3,0)+IF(AND(L59&gt;104,L59&lt;284),0.39*COS(RADIANS(L59-14))^2,0),"")</f>
        <v/>
      </c>
      <c r="Q59">
        <f>IF(AND(Report!$F$6&lt;&gt;"",COUNT(Spectra!$K$5:$K$40)&gt;0),62*(P59+0.31),"")</f>
        <v/>
      </c>
      <c r="R59">
        <f>IF(AND(Report!$F$6&lt;&gt;"",COUNT(Spectra!$K$5:$K$40)&gt;0),0.36*(P59+0.19),"")</f>
        <v/>
      </c>
      <c r="S59">
        <f>IF(AND(Report!$F$6&lt;&gt;"",COUNT(Spectra!$K$5:$K$40)&gt;0),Q59*(LN(O59/80+R59)-LN(R59)),"")</f>
        <v/>
      </c>
      <c r="T59">
        <f>IF(AND(Report!$F$6&lt;&gt;"",COUNT(Spectra!$K$5:$K$40)&gt;0),M59,"")</f>
        <v/>
      </c>
      <c r="U59">
        <f>IF(AND(Report!$F$6&lt;&gt;"",COUNT(Spectra!$K$5:$K$40)&gt;0),S59*COS(RADIANS(L59)),"")</f>
        <v/>
      </c>
      <c r="V59">
        <f>IF(AND(Report!$F$6&lt;&gt;"",COUNT(Spectra!$K$5:$K$40)&gt;0),S59*SIN(RADIANS(L59)),"")</f>
        <v/>
      </c>
      <c r="W59">
        <f>IF(AND(Report!$F$6&lt;&gt;"",COUNT(Spectra!$K$5:$K$40)&gt;0),IF(E59/INDEX(Matrices!$B$2:$B$17,C59)&gt;0.008856,(E59/INDEX(Matrices!$B$2:$B$17,C59))^(1/3),7.787*E59/INDEX(Matrices!$B$2:$B$17,C59)+16/116),"")</f>
        <v/>
      </c>
      <c r="X59">
        <f>IF(AND(Report!$F$6&lt;&gt;"",COUNT(Spectra!$K$5:$K$40)&gt;0),IF(F59/INDEX(Matrices!$C$2:$C$17,C59)&gt;0.008856,(F59/INDEX(Matrices!$C$2:$C$17,C59))^(1/3),7.787*F59/INDEX(Matrices!$C$2:$C$17,C59)+16/116),"")</f>
        <v/>
      </c>
      <c r="Y59">
        <f>IF(AND(Report!$F$6&lt;&gt;"",COUNT(Spectra!$K$5:$K$40)&gt;0),IF(G59/INDEX(Matrices!$D$2:$D$17,C59)&gt;0.008856,(G59/INDEX(Matrices!$D$2:$D$17,C59))^(1/3),7.787*G59/INDEX(Matrices!$D$2:$D$17,C59)+16/116),"")</f>
        <v/>
      </c>
      <c r="Z59">
        <f>IF(AND(Report!$F$6&lt;&gt;"",COUNT(Spectra!$K$5:$K$40)&gt;0),116*X59-16,"")</f>
        <v/>
      </c>
      <c r="AA59">
        <f>IF(AND(Report!$F$6&lt;&gt;"",COUNT(Spectra!$K$5:$K$40)&gt;0),500*(W59-X59),"")</f>
        <v/>
      </c>
      <c r="AB59">
        <f>IF(AND(Report!$F$6&lt;&gt;"",COUNT(Spectra!$K$5:$K$40)&gt;0),200*(X59-Y59),"")</f>
        <v/>
      </c>
    </row>
    <row r="60">
      <c r="A60" t="n">
        <v>10</v>
      </c>
      <c r="B60" t="n">
        <v>5</v>
      </c>
      <c r="C60">
        <f>IF(AND(Report!$G$6&lt;&gt;"",COUNT(Spectra!$K$5:$K$40)&gt;0),MATCH(Report!$G$6,Matrices!$A$2:$A$17,0),"")</f>
        <v/>
      </c>
      <c r="D60">
        <f>IF(AND(Report!$G$6&lt;&gt;"",COUNT(Spectra!$K$5:$K$40)&gt;0),MATCH(Report!$G$6,Weights!$B$3:$AW$3,0),"")</f>
        <v/>
      </c>
      <c r="E60">
        <f>IF(AND(Report!$G$6&lt;&gt;"",COUNT(Spectra!$K$5:$K$40)&gt;0),SUMPRODUCT(Spectra!$K$5:$K$40,INDEX(Weights!$B$5:$AW$40,0,D60+0))/Spectra!$N$5,"")</f>
        <v/>
      </c>
      <c r="F60">
        <f>IF(AND(Report!$G$6&lt;&gt;"",COUNT(Spectra!$K$5:$K$40)&gt;0),SUMPRODUCT(Spectra!$K$5:$K$40,INDEX(Weights!$B$5:$AW$40,0,D60+1))/Spectra!$N$5,"")</f>
        <v/>
      </c>
      <c r="G60">
        <f>IF(AND(Report!$G$6&lt;&gt;"",COUNT(Spectra!$K$5:$K$40)&gt;0),SUMPRODUCT(Spectra!$K$5:$K$40,INDEX(Weights!$B$5:$AW$40,0,D60+2))/Spectra!$N$5,"")</f>
        <v/>
      </c>
      <c r="H60">
        <f>IF(AND(Report!$G$6&lt;&gt;"",COUNT(Spectra!$K$5:$K$40)&gt;0),INDEX(Matrices!$E$2:$E$17,C60)*E60+INDEX(Matrices!$F$2:$F$17,C60)*F60+INDEX(Matrices!$G$2:$G$17,C60)*G60,"")</f>
        <v/>
      </c>
      <c r="I60">
        <f>IF(AND(Report!$G$6&lt;&gt;"",COUNT(Spectra!$K$5:$K$40)&gt;0),INDEX(Matrices!$H$2:$H$17,C60)*E60+INDEX(Matrices!$I$2:$I$17,C60)*F60+INDEX(Matrices!$J$2:$J$17,C60)*G60,"")</f>
        <v/>
      </c>
      <c r="J60">
        <f>IF(AND(Report!$G$6&lt;&gt;"",COUNT(Spectra!$K$5:$K$40)&gt;0),INDEX(Matrices!$K$2:$K$17,C60)*E60+INDEX(Matrices!$L$2:$L$17,C60)*F60+INDEX(Matrices!$M$2:$M$17,C60)*G60,"")</f>
        <v/>
      </c>
      <c r="K60">
        <f>IF(AND(Report!$G$6&lt;&gt;"",COUNT(Spectra!$K$5:$K$40)&gt;0),SQRT(I60^2+J60^2),"")</f>
        <v/>
      </c>
      <c r="L60">
        <f>IF(AND(Report!$G$6&lt;&gt;"",COUNT(Spectra!$K$5:$K$40)&gt;0),IF(K60=0,0,MOD(DEGREES(ATAN2(I60,J60)),360)),"")</f>
        <v/>
      </c>
      <c r="M60">
        <f>IF(AND(Report!$G$6&lt;&gt;"",COUNT(Spectra!$K$5:$K$40)&gt;0),IF(H60/100&gt;(6/29)^3,(H60/100)^(1/3),(1/3)*(29/6)^2*H60/100+16/116)*116-16,"")</f>
        <v/>
      </c>
      <c r="N60">
        <f>IF(AND(Report!$G$6&lt;&gt;"",COUNT(Spectra!$K$5:$K$40)&gt;0),EXP(0.026742553710937*(M60-51.576165618406904))/0.45888671875,"")</f>
        <v/>
      </c>
      <c r="O60">
        <f>IF(AND(Report!$G$6&lt;&gt;"",COUNT(Spectra!$K$5:$K$40)&gt;0),K60/N60,"")</f>
        <v/>
      </c>
      <c r="P60">
        <f>IF(AND(Report!$G$6&lt;&gt;"",COUNT(Spectra!$K$5:$K$40)&gt;0),IF(AND(L60&gt;1,L60&lt;181),SIN(RADIANS(L60-1))^3,0)+IF(AND(L60&gt;104,L60&lt;284),0.39*COS(RADIANS(L60-14))^2,0),"")</f>
        <v/>
      </c>
      <c r="Q60">
        <f>IF(AND(Report!$G$6&lt;&gt;"",COUNT(Spectra!$K$5:$K$40)&gt;0),62*(P60+0.31),"")</f>
        <v/>
      </c>
      <c r="R60">
        <f>IF(AND(Report!$G$6&lt;&gt;"",COUNT(Spectra!$K$5:$K$40)&gt;0),0.36*(P60+0.19),"")</f>
        <v/>
      </c>
      <c r="S60">
        <f>IF(AND(Report!$G$6&lt;&gt;"",COUNT(Spectra!$K$5:$K$40)&gt;0),Q60*(LN(O60/80+R60)-LN(R60)),"")</f>
        <v/>
      </c>
      <c r="T60">
        <f>IF(AND(Report!$G$6&lt;&gt;"",COUNT(Spectra!$K$5:$K$40)&gt;0),M60,"")</f>
        <v/>
      </c>
      <c r="U60">
        <f>IF(AND(Report!$G$6&lt;&gt;"",COUNT(Spectra!$K$5:$K$40)&gt;0),S60*COS(RADIANS(L60)),"")</f>
        <v/>
      </c>
      <c r="V60">
        <f>IF(AND(Report!$G$6&lt;&gt;"",COUNT(Spectra!$K$5:$K$40)&gt;0),S60*SIN(RADIANS(L60)),"")</f>
        <v/>
      </c>
      <c r="W60">
        <f>IF(AND(Report!$G$6&lt;&gt;"",COUNT(Spectra!$K$5:$K$40)&gt;0),IF(E60/INDEX(Matrices!$B$2:$B$17,C60)&gt;0.008856,(E60/INDEX(Matrices!$B$2:$B$17,C60))^(1/3),7.787*E60/INDEX(Matrices!$B$2:$B$17,C60)+16/116),"")</f>
        <v/>
      </c>
      <c r="X60">
        <f>IF(AND(Report!$G$6&lt;&gt;"",COUNT(Spectra!$K$5:$K$40)&gt;0),IF(F60/INDEX(Matrices!$C$2:$C$17,C60)&gt;0.008856,(F60/INDEX(Matrices!$C$2:$C$17,C60))^(1/3),7.787*F60/INDEX(Matrices!$C$2:$C$17,C60)+16/116),"")</f>
        <v/>
      </c>
      <c r="Y60">
        <f>IF(AND(Report!$G$6&lt;&gt;"",COUNT(Spectra!$K$5:$K$40)&gt;0),IF(G60/INDEX(Matrices!$D$2:$D$17,C60)&gt;0.008856,(G60/INDEX(Matrices!$D$2:$D$17,C60))^(1/3),7.787*G60/INDEX(Matrices!$D$2:$D$17,C60)+16/116),"")</f>
        <v/>
      </c>
      <c r="Z60">
        <f>IF(AND(Report!$G$6&lt;&gt;"",COUNT(Spectra!$K$5:$K$40)&gt;0),116*X60-16,"")</f>
        <v/>
      </c>
      <c r="AA60">
        <f>IF(AND(Report!$G$6&lt;&gt;"",COUNT(Spectra!$K$5:$K$40)&gt;0),500*(W60-X60),"")</f>
        <v/>
      </c>
      <c r="AB60">
        <f>IF(AND(Report!$G$6&lt;&gt;"",COUNT(Spectra!$K$5:$K$40)&gt;0),200*(X60-Y60),"")</f>
        <v/>
      </c>
    </row>
    <row r="61">
      <c r="A61" t="n">
        <v>10</v>
      </c>
      <c r="B61" t="n">
        <v>6</v>
      </c>
      <c r="C61">
        <f>IF(AND(Report!$H$6&lt;&gt;"",COUNT(Spectra!$K$5:$K$40)&gt;0),MATCH(Report!$H$6,Matrices!$A$2:$A$17,0),"")</f>
        <v/>
      </c>
      <c r="D61">
        <f>IF(AND(Report!$H$6&lt;&gt;"",COUNT(Spectra!$K$5:$K$40)&gt;0),MATCH(Report!$H$6,Weights!$B$3:$AW$3,0),"")</f>
        <v/>
      </c>
      <c r="E61">
        <f>IF(AND(Report!$H$6&lt;&gt;"",COUNT(Spectra!$K$5:$K$40)&gt;0),SUMPRODUCT(Spectra!$K$5:$K$40,INDEX(Weights!$B$5:$AW$40,0,D61+0))/Spectra!$N$5,"")</f>
        <v/>
      </c>
      <c r="F61">
        <f>IF(AND(Report!$H$6&lt;&gt;"",COUNT(Spectra!$K$5:$K$40)&gt;0),SUMPRODUCT(Spectra!$K$5:$K$40,INDEX(Weights!$B$5:$AW$40,0,D61+1))/Spectra!$N$5,"")</f>
        <v/>
      </c>
      <c r="G61">
        <f>IF(AND(Report!$H$6&lt;&gt;"",COUNT(Spectra!$K$5:$K$40)&gt;0),SUMPRODUCT(Spectra!$K$5:$K$40,INDEX(Weights!$B$5:$AW$40,0,D61+2))/Spectra!$N$5,"")</f>
        <v/>
      </c>
      <c r="H61">
        <f>IF(AND(Report!$H$6&lt;&gt;"",COUNT(Spectra!$K$5:$K$40)&gt;0),INDEX(Matrices!$E$2:$E$17,C61)*E61+INDEX(Matrices!$F$2:$F$17,C61)*F61+INDEX(Matrices!$G$2:$G$17,C61)*G61,"")</f>
        <v/>
      </c>
      <c r="I61">
        <f>IF(AND(Report!$H$6&lt;&gt;"",COUNT(Spectra!$K$5:$K$40)&gt;0),INDEX(Matrices!$H$2:$H$17,C61)*E61+INDEX(Matrices!$I$2:$I$17,C61)*F61+INDEX(Matrices!$J$2:$J$17,C61)*G61,"")</f>
        <v/>
      </c>
      <c r="J61">
        <f>IF(AND(Report!$H$6&lt;&gt;"",COUNT(Spectra!$K$5:$K$40)&gt;0),INDEX(Matrices!$K$2:$K$17,C61)*E61+INDEX(Matrices!$L$2:$L$17,C61)*F61+INDEX(Matrices!$M$2:$M$17,C61)*G61,"")</f>
        <v/>
      </c>
      <c r="K61">
        <f>IF(AND(Report!$H$6&lt;&gt;"",COUNT(Spectra!$K$5:$K$40)&gt;0),SQRT(I61^2+J61^2),"")</f>
        <v/>
      </c>
      <c r="L61">
        <f>IF(AND(Report!$H$6&lt;&gt;"",COUNT(Spectra!$K$5:$K$40)&gt;0),IF(K61=0,0,MOD(DEGREES(ATAN2(I61,J61)),360)),"")</f>
        <v/>
      </c>
      <c r="M61">
        <f>IF(AND(Report!$H$6&lt;&gt;"",COUNT(Spectra!$K$5:$K$40)&gt;0),IF(H61/100&gt;(6/29)^3,(H61/100)^(1/3),(1/3)*(29/6)^2*H61/100+16/116)*116-16,"")</f>
        <v/>
      </c>
      <c r="N61">
        <f>IF(AND(Report!$H$6&lt;&gt;"",COUNT(Spectra!$K$5:$K$40)&gt;0),EXP(0.026742553710937*(M61-51.576165618406904))/0.45888671875,"")</f>
        <v/>
      </c>
      <c r="O61">
        <f>IF(AND(Report!$H$6&lt;&gt;"",COUNT(Spectra!$K$5:$K$40)&gt;0),K61/N61,"")</f>
        <v/>
      </c>
      <c r="P61">
        <f>IF(AND(Report!$H$6&lt;&gt;"",COUNT(Spectra!$K$5:$K$40)&gt;0),IF(AND(L61&gt;1,L61&lt;181),SIN(RADIANS(L61-1))^3,0)+IF(AND(L61&gt;104,L61&lt;284),0.39*COS(RADIANS(L61-14))^2,0),"")</f>
        <v/>
      </c>
      <c r="Q61">
        <f>IF(AND(Report!$H$6&lt;&gt;"",COUNT(Spectra!$K$5:$K$40)&gt;0),62*(P61+0.31),"")</f>
        <v/>
      </c>
      <c r="R61">
        <f>IF(AND(Report!$H$6&lt;&gt;"",COUNT(Spectra!$K$5:$K$40)&gt;0),0.36*(P61+0.19),"")</f>
        <v/>
      </c>
      <c r="S61">
        <f>IF(AND(Report!$H$6&lt;&gt;"",COUNT(Spectra!$K$5:$K$40)&gt;0),Q61*(LN(O61/80+R61)-LN(R61)),"")</f>
        <v/>
      </c>
      <c r="T61">
        <f>IF(AND(Report!$H$6&lt;&gt;"",COUNT(Spectra!$K$5:$K$40)&gt;0),M61,"")</f>
        <v/>
      </c>
      <c r="U61">
        <f>IF(AND(Report!$H$6&lt;&gt;"",COUNT(Spectra!$K$5:$K$40)&gt;0),S61*COS(RADIANS(L61)),"")</f>
        <v/>
      </c>
      <c r="V61">
        <f>IF(AND(Report!$H$6&lt;&gt;"",COUNT(Spectra!$K$5:$K$40)&gt;0),S61*SIN(RADIANS(L61)),"")</f>
        <v/>
      </c>
      <c r="W61">
        <f>IF(AND(Report!$H$6&lt;&gt;"",COUNT(Spectra!$K$5:$K$40)&gt;0),IF(E61/INDEX(Matrices!$B$2:$B$17,C61)&gt;0.008856,(E61/INDEX(Matrices!$B$2:$B$17,C61))^(1/3),7.787*E61/INDEX(Matrices!$B$2:$B$17,C61)+16/116),"")</f>
        <v/>
      </c>
      <c r="X61">
        <f>IF(AND(Report!$H$6&lt;&gt;"",COUNT(Spectra!$K$5:$K$40)&gt;0),IF(F61/INDEX(Matrices!$C$2:$C$17,C61)&gt;0.008856,(F61/INDEX(Matrices!$C$2:$C$17,C61))^(1/3),7.787*F61/INDEX(Matrices!$C$2:$C$17,C61)+16/116),"")</f>
        <v/>
      </c>
      <c r="Y61">
        <f>IF(AND(Report!$H$6&lt;&gt;"",COUNT(Spectra!$K$5:$K$40)&gt;0),IF(G61/INDEX(Matrices!$D$2:$D$17,C61)&gt;0.008856,(G61/INDEX(Matrices!$D$2:$D$17,C61))^(1/3),7.787*G61/INDEX(Matrices!$D$2:$D$17,C61)+16/116),"")</f>
        <v/>
      </c>
      <c r="Z61">
        <f>IF(AND(Report!$H$6&lt;&gt;"",COUNT(Spectra!$K$5:$K$40)&gt;0),116*X61-16,"")</f>
        <v/>
      </c>
      <c r="AA61">
        <f>IF(AND(Report!$H$6&lt;&gt;"",COUNT(Spectra!$K$5:$K$40)&gt;0),500*(W61-X61),"")</f>
        <v/>
      </c>
      <c r="AB61">
        <f>IF(AND(Report!$H$6&lt;&gt;"",COUNT(Spectra!$K$5:$K$40)&gt;0),200*(X61-Y61),"")</f>
        <v/>
      </c>
    </row>
    <row r="62">
      <c r="A62" t="n">
        <v>11</v>
      </c>
      <c r="B62" t="n">
        <v>1</v>
      </c>
      <c r="C62">
        <f>IF(AND(Report!$C$6&lt;&gt;"",COUNT(Spectra!$L$5:$L$40)&gt;0),MATCH(Report!$C$6,Matrices!$A$2:$A$17,0),"")</f>
        <v/>
      </c>
      <c r="D62">
        <f>IF(AND(Report!$C$6&lt;&gt;"",COUNT(Spectra!$L$5:$L$40)&gt;0),MATCH(Report!$C$6,Weights!$B$3:$AW$3,0),"")</f>
        <v/>
      </c>
      <c r="E62">
        <f>IF(AND(Report!$C$6&lt;&gt;"",COUNT(Spectra!$L$5:$L$40)&gt;0),SUMPRODUCT(Spectra!$L$5:$L$40,INDEX(Weights!$B$5:$AW$40,0,D62+0))/Spectra!$N$5,"")</f>
        <v/>
      </c>
      <c r="F62">
        <f>IF(AND(Report!$C$6&lt;&gt;"",COUNT(Spectra!$L$5:$L$40)&gt;0),SUMPRODUCT(Spectra!$L$5:$L$40,INDEX(Weights!$B$5:$AW$40,0,D62+1))/Spectra!$N$5,"")</f>
        <v/>
      </c>
      <c r="G62">
        <f>IF(AND(Report!$C$6&lt;&gt;"",COUNT(Spectra!$L$5:$L$40)&gt;0),SUMPRODUCT(Spectra!$L$5:$L$40,INDEX(Weights!$B$5:$AW$40,0,D62+2))/Spectra!$N$5,"")</f>
        <v/>
      </c>
      <c r="H62">
        <f>IF(AND(Report!$C$6&lt;&gt;"",COUNT(Spectra!$L$5:$L$40)&gt;0),INDEX(Matrices!$E$2:$E$17,C62)*E62+INDEX(Matrices!$F$2:$F$17,C62)*F62+INDEX(Matrices!$G$2:$G$17,C62)*G62,"")</f>
        <v/>
      </c>
      <c r="I62">
        <f>IF(AND(Report!$C$6&lt;&gt;"",COUNT(Spectra!$L$5:$L$40)&gt;0),INDEX(Matrices!$H$2:$H$17,C62)*E62+INDEX(Matrices!$I$2:$I$17,C62)*F62+INDEX(Matrices!$J$2:$J$17,C62)*G62,"")</f>
        <v/>
      </c>
      <c r="J62">
        <f>IF(AND(Report!$C$6&lt;&gt;"",COUNT(Spectra!$L$5:$L$40)&gt;0),INDEX(Matrices!$K$2:$K$17,C62)*E62+INDEX(Matrices!$L$2:$L$17,C62)*F62+INDEX(Matrices!$M$2:$M$17,C62)*G62,"")</f>
        <v/>
      </c>
      <c r="K62">
        <f>IF(AND(Report!$C$6&lt;&gt;"",COUNT(Spectra!$L$5:$L$40)&gt;0),SQRT(I62^2+J62^2),"")</f>
        <v/>
      </c>
      <c r="L62">
        <f>IF(AND(Report!$C$6&lt;&gt;"",COUNT(Spectra!$L$5:$L$40)&gt;0),IF(K62=0,0,MOD(DEGREES(ATAN2(I62,J62)),360)),"")</f>
        <v/>
      </c>
      <c r="M62">
        <f>IF(AND(Report!$C$6&lt;&gt;"",COUNT(Spectra!$L$5:$L$40)&gt;0),IF(H62/100&gt;(6/29)^3,(H62/100)^(1/3),(1/3)*(29/6)^2*H62/100+16/116)*116-16,"")</f>
        <v/>
      </c>
      <c r="N62">
        <f>IF(AND(Report!$C$6&lt;&gt;"",COUNT(Spectra!$L$5:$L$40)&gt;0),EXP(0.026742553710937*(M62-51.576165618406904))/0.45888671875,"")</f>
        <v/>
      </c>
      <c r="O62">
        <f>IF(AND(Report!$C$6&lt;&gt;"",COUNT(Spectra!$L$5:$L$40)&gt;0),K62/N62,"")</f>
        <v/>
      </c>
      <c r="P62">
        <f>IF(AND(Report!$C$6&lt;&gt;"",COUNT(Spectra!$L$5:$L$40)&gt;0),IF(AND(L62&gt;1,L62&lt;181),SIN(RADIANS(L62-1))^3,0)+IF(AND(L62&gt;104,L62&lt;284),0.39*COS(RADIANS(L62-14))^2,0),"")</f>
        <v/>
      </c>
      <c r="Q62">
        <f>IF(AND(Report!$C$6&lt;&gt;"",COUNT(Spectra!$L$5:$L$40)&gt;0),62*(P62+0.31),"")</f>
        <v/>
      </c>
      <c r="R62">
        <f>IF(AND(Report!$C$6&lt;&gt;"",COUNT(Spectra!$L$5:$L$40)&gt;0),0.36*(P62+0.19),"")</f>
        <v/>
      </c>
      <c r="S62">
        <f>IF(AND(Report!$C$6&lt;&gt;"",COUNT(Spectra!$L$5:$L$40)&gt;0),Q62*(LN(O62/80+R62)-LN(R62)),"")</f>
        <v/>
      </c>
      <c r="T62">
        <f>IF(AND(Report!$C$6&lt;&gt;"",COUNT(Spectra!$L$5:$L$40)&gt;0),M62,"")</f>
        <v/>
      </c>
      <c r="U62">
        <f>IF(AND(Report!$C$6&lt;&gt;"",COUNT(Spectra!$L$5:$L$40)&gt;0),S62*COS(RADIANS(L62)),"")</f>
        <v/>
      </c>
      <c r="V62">
        <f>IF(AND(Report!$C$6&lt;&gt;"",COUNT(Spectra!$L$5:$L$40)&gt;0),S62*SIN(RADIANS(L62)),"")</f>
        <v/>
      </c>
      <c r="W62">
        <f>IF(AND(Report!$C$6&lt;&gt;"",COUNT(Spectra!$L$5:$L$40)&gt;0),IF(E62/INDEX(Matrices!$B$2:$B$17,C62)&gt;0.008856,(E62/INDEX(Matrices!$B$2:$B$17,C62))^(1/3),7.787*E62/INDEX(Matrices!$B$2:$B$17,C62)+16/116),"")</f>
        <v/>
      </c>
      <c r="X62">
        <f>IF(AND(Report!$C$6&lt;&gt;"",COUNT(Spectra!$L$5:$L$40)&gt;0),IF(F62/INDEX(Matrices!$C$2:$C$17,C62)&gt;0.008856,(F62/INDEX(Matrices!$C$2:$C$17,C62))^(1/3),7.787*F62/INDEX(Matrices!$C$2:$C$17,C62)+16/116),"")</f>
        <v/>
      </c>
      <c r="Y62">
        <f>IF(AND(Report!$C$6&lt;&gt;"",COUNT(Spectra!$L$5:$L$40)&gt;0),IF(G62/INDEX(Matrices!$D$2:$D$17,C62)&gt;0.008856,(G62/INDEX(Matrices!$D$2:$D$17,C62))^(1/3),7.787*G62/INDEX(Matrices!$D$2:$D$17,C62)+16/116),"")</f>
        <v/>
      </c>
      <c r="Z62">
        <f>IF(AND(Report!$C$6&lt;&gt;"",COUNT(Spectra!$L$5:$L$40)&gt;0),116*X62-16,"")</f>
        <v/>
      </c>
      <c r="AA62">
        <f>IF(AND(Report!$C$6&lt;&gt;"",COUNT(Spectra!$L$5:$L$40)&gt;0),500*(W62-X62),"")</f>
        <v/>
      </c>
      <c r="AB62">
        <f>IF(AND(Report!$C$6&lt;&gt;"",COUNT(Spectra!$L$5:$L$40)&gt;0),200*(X62-Y62),"")</f>
        <v/>
      </c>
    </row>
    <row r="63">
      <c r="A63" t="n">
        <v>11</v>
      </c>
      <c r="B63" t="n">
        <v>2</v>
      </c>
      <c r="C63">
        <f>IF(AND(Report!$D$6&lt;&gt;"",COUNT(Spectra!$L$5:$L$40)&gt;0),MATCH(Report!$D$6,Matrices!$A$2:$A$17,0),"")</f>
        <v/>
      </c>
      <c r="D63">
        <f>IF(AND(Report!$D$6&lt;&gt;"",COUNT(Spectra!$L$5:$L$40)&gt;0),MATCH(Report!$D$6,Weights!$B$3:$AW$3,0),"")</f>
        <v/>
      </c>
      <c r="E63">
        <f>IF(AND(Report!$D$6&lt;&gt;"",COUNT(Spectra!$L$5:$L$40)&gt;0),SUMPRODUCT(Spectra!$L$5:$L$40,INDEX(Weights!$B$5:$AW$40,0,D63+0))/Spectra!$N$5,"")</f>
        <v/>
      </c>
      <c r="F63">
        <f>IF(AND(Report!$D$6&lt;&gt;"",COUNT(Spectra!$L$5:$L$40)&gt;0),SUMPRODUCT(Spectra!$L$5:$L$40,INDEX(Weights!$B$5:$AW$40,0,D63+1))/Spectra!$N$5,"")</f>
        <v/>
      </c>
      <c r="G63">
        <f>IF(AND(Report!$D$6&lt;&gt;"",COUNT(Spectra!$L$5:$L$40)&gt;0),SUMPRODUCT(Spectra!$L$5:$L$40,INDEX(Weights!$B$5:$AW$40,0,D63+2))/Spectra!$N$5,"")</f>
        <v/>
      </c>
      <c r="H63">
        <f>IF(AND(Report!$D$6&lt;&gt;"",COUNT(Spectra!$L$5:$L$40)&gt;0),INDEX(Matrices!$E$2:$E$17,C63)*E63+INDEX(Matrices!$F$2:$F$17,C63)*F63+INDEX(Matrices!$G$2:$G$17,C63)*G63,"")</f>
        <v/>
      </c>
      <c r="I63">
        <f>IF(AND(Report!$D$6&lt;&gt;"",COUNT(Spectra!$L$5:$L$40)&gt;0),INDEX(Matrices!$H$2:$H$17,C63)*E63+INDEX(Matrices!$I$2:$I$17,C63)*F63+INDEX(Matrices!$J$2:$J$17,C63)*G63,"")</f>
        <v/>
      </c>
      <c r="J63">
        <f>IF(AND(Report!$D$6&lt;&gt;"",COUNT(Spectra!$L$5:$L$40)&gt;0),INDEX(Matrices!$K$2:$K$17,C63)*E63+INDEX(Matrices!$L$2:$L$17,C63)*F63+INDEX(Matrices!$M$2:$M$17,C63)*G63,"")</f>
        <v/>
      </c>
      <c r="K63">
        <f>IF(AND(Report!$D$6&lt;&gt;"",COUNT(Spectra!$L$5:$L$40)&gt;0),SQRT(I63^2+J63^2),"")</f>
        <v/>
      </c>
      <c r="L63">
        <f>IF(AND(Report!$D$6&lt;&gt;"",COUNT(Spectra!$L$5:$L$40)&gt;0),IF(K63=0,0,MOD(DEGREES(ATAN2(I63,J63)),360)),"")</f>
        <v/>
      </c>
      <c r="M63">
        <f>IF(AND(Report!$D$6&lt;&gt;"",COUNT(Spectra!$L$5:$L$40)&gt;0),IF(H63/100&gt;(6/29)^3,(H63/100)^(1/3),(1/3)*(29/6)^2*H63/100+16/116)*116-16,"")</f>
        <v/>
      </c>
      <c r="N63">
        <f>IF(AND(Report!$D$6&lt;&gt;"",COUNT(Spectra!$L$5:$L$40)&gt;0),EXP(0.026742553710937*(M63-51.576165618406904))/0.45888671875,"")</f>
        <v/>
      </c>
      <c r="O63">
        <f>IF(AND(Report!$D$6&lt;&gt;"",COUNT(Spectra!$L$5:$L$40)&gt;0),K63/N63,"")</f>
        <v/>
      </c>
      <c r="P63">
        <f>IF(AND(Report!$D$6&lt;&gt;"",COUNT(Spectra!$L$5:$L$40)&gt;0),IF(AND(L63&gt;1,L63&lt;181),SIN(RADIANS(L63-1))^3,0)+IF(AND(L63&gt;104,L63&lt;284),0.39*COS(RADIANS(L63-14))^2,0),"")</f>
        <v/>
      </c>
      <c r="Q63">
        <f>IF(AND(Report!$D$6&lt;&gt;"",COUNT(Spectra!$L$5:$L$40)&gt;0),62*(P63+0.31),"")</f>
        <v/>
      </c>
      <c r="R63">
        <f>IF(AND(Report!$D$6&lt;&gt;"",COUNT(Spectra!$L$5:$L$40)&gt;0),0.36*(P63+0.19),"")</f>
        <v/>
      </c>
      <c r="S63">
        <f>IF(AND(Report!$D$6&lt;&gt;"",COUNT(Spectra!$L$5:$L$40)&gt;0),Q63*(LN(O63/80+R63)-LN(R63)),"")</f>
        <v/>
      </c>
      <c r="T63">
        <f>IF(AND(Report!$D$6&lt;&gt;"",COUNT(Spectra!$L$5:$L$40)&gt;0),M63,"")</f>
        <v/>
      </c>
      <c r="U63">
        <f>IF(AND(Report!$D$6&lt;&gt;"",COUNT(Spectra!$L$5:$L$40)&gt;0),S63*COS(RADIANS(L63)),"")</f>
        <v/>
      </c>
      <c r="V63">
        <f>IF(AND(Report!$D$6&lt;&gt;"",COUNT(Spectra!$L$5:$L$40)&gt;0),S63*SIN(RADIANS(L63)),"")</f>
        <v/>
      </c>
      <c r="W63">
        <f>IF(AND(Report!$D$6&lt;&gt;"",COUNT(Spectra!$L$5:$L$40)&gt;0),IF(E63/INDEX(Matrices!$B$2:$B$17,C63)&gt;0.008856,(E63/INDEX(Matrices!$B$2:$B$17,C63))^(1/3),7.787*E63/INDEX(Matrices!$B$2:$B$17,C63)+16/116),"")</f>
        <v/>
      </c>
      <c r="X63">
        <f>IF(AND(Report!$D$6&lt;&gt;"",COUNT(Spectra!$L$5:$L$40)&gt;0),IF(F63/INDEX(Matrices!$C$2:$C$17,C63)&gt;0.008856,(F63/INDEX(Matrices!$C$2:$C$17,C63))^(1/3),7.787*F63/INDEX(Matrices!$C$2:$C$17,C63)+16/116),"")</f>
        <v/>
      </c>
      <c r="Y63">
        <f>IF(AND(Report!$D$6&lt;&gt;"",COUNT(Spectra!$L$5:$L$40)&gt;0),IF(G63/INDEX(Matrices!$D$2:$D$17,C63)&gt;0.008856,(G63/INDEX(Matrices!$D$2:$D$17,C63))^(1/3),7.787*G63/INDEX(Matrices!$D$2:$D$17,C63)+16/116),"")</f>
        <v/>
      </c>
      <c r="Z63">
        <f>IF(AND(Report!$D$6&lt;&gt;"",COUNT(Spectra!$L$5:$L$40)&gt;0),116*X63-16,"")</f>
        <v/>
      </c>
      <c r="AA63">
        <f>IF(AND(Report!$D$6&lt;&gt;"",COUNT(Spectra!$L$5:$L$40)&gt;0),500*(W63-X63),"")</f>
        <v/>
      </c>
      <c r="AB63">
        <f>IF(AND(Report!$D$6&lt;&gt;"",COUNT(Spectra!$L$5:$L$40)&gt;0),200*(X63-Y63),"")</f>
        <v/>
      </c>
    </row>
    <row r="64">
      <c r="A64" t="n">
        <v>11</v>
      </c>
      <c r="B64" t="n">
        <v>3</v>
      </c>
      <c r="C64">
        <f>IF(AND(Report!$E$6&lt;&gt;"",COUNT(Spectra!$L$5:$L$40)&gt;0),MATCH(Report!$E$6,Matrices!$A$2:$A$17,0),"")</f>
        <v/>
      </c>
      <c r="D64">
        <f>IF(AND(Report!$E$6&lt;&gt;"",COUNT(Spectra!$L$5:$L$40)&gt;0),MATCH(Report!$E$6,Weights!$B$3:$AW$3,0),"")</f>
        <v/>
      </c>
      <c r="E64">
        <f>IF(AND(Report!$E$6&lt;&gt;"",COUNT(Spectra!$L$5:$L$40)&gt;0),SUMPRODUCT(Spectra!$L$5:$L$40,INDEX(Weights!$B$5:$AW$40,0,D64+0))/Spectra!$N$5,"")</f>
        <v/>
      </c>
      <c r="F64">
        <f>IF(AND(Report!$E$6&lt;&gt;"",COUNT(Spectra!$L$5:$L$40)&gt;0),SUMPRODUCT(Spectra!$L$5:$L$40,INDEX(Weights!$B$5:$AW$40,0,D64+1))/Spectra!$N$5,"")</f>
        <v/>
      </c>
      <c r="G64">
        <f>IF(AND(Report!$E$6&lt;&gt;"",COUNT(Spectra!$L$5:$L$40)&gt;0),SUMPRODUCT(Spectra!$L$5:$L$40,INDEX(Weights!$B$5:$AW$40,0,D64+2))/Spectra!$N$5,"")</f>
        <v/>
      </c>
      <c r="H64">
        <f>IF(AND(Report!$E$6&lt;&gt;"",COUNT(Spectra!$L$5:$L$40)&gt;0),INDEX(Matrices!$E$2:$E$17,C64)*E64+INDEX(Matrices!$F$2:$F$17,C64)*F64+INDEX(Matrices!$G$2:$G$17,C64)*G64,"")</f>
        <v/>
      </c>
      <c r="I64">
        <f>IF(AND(Report!$E$6&lt;&gt;"",COUNT(Spectra!$L$5:$L$40)&gt;0),INDEX(Matrices!$H$2:$H$17,C64)*E64+INDEX(Matrices!$I$2:$I$17,C64)*F64+INDEX(Matrices!$J$2:$J$17,C64)*G64,"")</f>
        <v/>
      </c>
      <c r="J64">
        <f>IF(AND(Report!$E$6&lt;&gt;"",COUNT(Spectra!$L$5:$L$40)&gt;0),INDEX(Matrices!$K$2:$K$17,C64)*E64+INDEX(Matrices!$L$2:$L$17,C64)*F64+INDEX(Matrices!$M$2:$M$17,C64)*G64,"")</f>
        <v/>
      </c>
      <c r="K64">
        <f>IF(AND(Report!$E$6&lt;&gt;"",COUNT(Spectra!$L$5:$L$40)&gt;0),SQRT(I64^2+J64^2),"")</f>
        <v/>
      </c>
      <c r="L64">
        <f>IF(AND(Report!$E$6&lt;&gt;"",COUNT(Spectra!$L$5:$L$40)&gt;0),IF(K64=0,0,MOD(DEGREES(ATAN2(I64,J64)),360)),"")</f>
        <v/>
      </c>
      <c r="M64">
        <f>IF(AND(Report!$E$6&lt;&gt;"",COUNT(Spectra!$L$5:$L$40)&gt;0),IF(H64/100&gt;(6/29)^3,(H64/100)^(1/3),(1/3)*(29/6)^2*H64/100+16/116)*116-16,"")</f>
        <v/>
      </c>
      <c r="N64">
        <f>IF(AND(Report!$E$6&lt;&gt;"",COUNT(Spectra!$L$5:$L$40)&gt;0),EXP(0.026742553710937*(M64-51.576165618406904))/0.45888671875,"")</f>
        <v/>
      </c>
      <c r="O64">
        <f>IF(AND(Report!$E$6&lt;&gt;"",COUNT(Spectra!$L$5:$L$40)&gt;0),K64/N64,"")</f>
        <v/>
      </c>
      <c r="P64">
        <f>IF(AND(Report!$E$6&lt;&gt;"",COUNT(Spectra!$L$5:$L$40)&gt;0),IF(AND(L64&gt;1,L64&lt;181),SIN(RADIANS(L64-1))^3,0)+IF(AND(L64&gt;104,L64&lt;284),0.39*COS(RADIANS(L64-14))^2,0),"")</f>
        <v/>
      </c>
      <c r="Q64">
        <f>IF(AND(Report!$E$6&lt;&gt;"",COUNT(Spectra!$L$5:$L$40)&gt;0),62*(P64+0.31),"")</f>
        <v/>
      </c>
      <c r="R64">
        <f>IF(AND(Report!$E$6&lt;&gt;"",COUNT(Spectra!$L$5:$L$40)&gt;0),0.36*(P64+0.19),"")</f>
        <v/>
      </c>
      <c r="S64">
        <f>IF(AND(Report!$E$6&lt;&gt;"",COUNT(Spectra!$L$5:$L$40)&gt;0),Q64*(LN(O64/80+R64)-LN(R64)),"")</f>
        <v/>
      </c>
      <c r="T64">
        <f>IF(AND(Report!$E$6&lt;&gt;"",COUNT(Spectra!$L$5:$L$40)&gt;0),M64,"")</f>
        <v/>
      </c>
      <c r="U64">
        <f>IF(AND(Report!$E$6&lt;&gt;"",COUNT(Spectra!$L$5:$L$40)&gt;0),S64*COS(RADIANS(L64)),"")</f>
        <v/>
      </c>
      <c r="V64">
        <f>IF(AND(Report!$E$6&lt;&gt;"",COUNT(Spectra!$L$5:$L$40)&gt;0),S64*SIN(RADIANS(L64)),"")</f>
        <v/>
      </c>
      <c r="W64">
        <f>IF(AND(Report!$E$6&lt;&gt;"",COUNT(Spectra!$L$5:$L$40)&gt;0),IF(E64/INDEX(Matrices!$B$2:$B$17,C64)&gt;0.008856,(E64/INDEX(Matrices!$B$2:$B$17,C64))^(1/3),7.787*E64/INDEX(Matrices!$B$2:$B$17,C64)+16/116),"")</f>
        <v/>
      </c>
      <c r="X64">
        <f>IF(AND(Report!$E$6&lt;&gt;"",COUNT(Spectra!$L$5:$L$40)&gt;0),IF(F64/INDEX(Matrices!$C$2:$C$17,C64)&gt;0.008856,(F64/INDEX(Matrices!$C$2:$C$17,C64))^(1/3),7.787*F64/INDEX(Matrices!$C$2:$C$17,C64)+16/116),"")</f>
        <v/>
      </c>
      <c r="Y64">
        <f>IF(AND(Report!$E$6&lt;&gt;"",COUNT(Spectra!$L$5:$L$40)&gt;0),IF(G64/INDEX(Matrices!$D$2:$D$17,C64)&gt;0.008856,(G64/INDEX(Matrices!$D$2:$D$17,C64))^(1/3),7.787*G64/INDEX(Matrices!$D$2:$D$17,C64)+16/116),"")</f>
        <v/>
      </c>
      <c r="Z64">
        <f>IF(AND(Report!$E$6&lt;&gt;"",COUNT(Spectra!$L$5:$L$40)&gt;0),116*X64-16,"")</f>
        <v/>
      </c>
      <c r="AA64">
        <f>IF(AND(Report!$E$6&lt;&gt;"",COUNT(Spectra!$L$5:$L$40)&gt;0),500*(W64-X64),"")</f>
        <v/>
      </c>
      <c r="AB64">
        <f>IF(AND(Report!$E$6&lt;&gt;"",COUNT(Spectra!$L$5:$L$40)&gt;0),200*(X64-Y64),"")</f>
        <v/>
      </c>
    </row>
    <row r="65">
      <c r="A65" t="n">
        <v>11</v>
      </c>
      <c r="B65" t="n">
        <v>4</v>
      </c>
      <c r="C65">
        <f>IF(AND(Report!$F$6&lt;&gt;"",COUNT(Spectra!$L$5:$L$40)&gt;0),MATCH(Report!$F$6,Matrices!$A$2:$A$17,0),"")</f>
        <v/>
      </c>
      <c r="D65">
        <f>IF(AND(Report!$F$6&lt;&gt;"",COUNT(Spectra!$L$5:$L$40)&gt;0),MATCH(Report!$F$6,Weights!$B$3:$AW$3,0),"")</f>
        <v/>
      </c>
      <c r="E65">
        <f>IF(AND(Report!$F$6&lt;&gt;"",COUNT(Spectra!$L$5:$L$40)&gt;0),SUMPRODUCT(Spectra!$L$5:$L$40,INDEX(Weights!$B$5:$AW$40,0,D65+0))/Spectra!$N$5,"")</f>
        <v/>
      </c>
      <c r="F65">
        <f>IF(AND(Report!$F$6&lt;&gt;"",COUNT(Spectra!$L$5:$L$40)&gt;0),SUMPRODUCT(Spectra!$L$5:$L$40,INDEX(Weights!$B$5:$AW$40,0,D65+1))/Spectra!$N$5,"")</f>
        <v/>
      </c>
      <c r="G65">
        <f>IF(AND(Report!$F$6&lt;&gt;"",COUNT(Spectra!$L$5:$L$40)&gt;0),SUMPRODUCT(Spectra!$L$5:$L$40,INDEX(Weights!$B$5:$AW$40,0,D65+2))/Spectra!$N$5,"")</f>
        <v/>
      </c>
      <c r="H65">
        <f>IF(AND(Report!$F$6&lt;&gt;"",COUNT(Spectra!$L$5:$L$40)&gt;0),INDEX(Matrices!$E$2:$E$17,C65)*E65+INDEX(Matrices!$F$2:$F$17,C65)*F65+INDEX(Matrices!$G$2:$G$17,C65)*G65,"")</f>
        <v/>
      </c>
      <c r="I65">
        <f>IF(AND(Report!$F$6&lt;&gt;"",COUNT(Spectra!$L$5:$L$40)&gt;0),INDEX(Matrices!$H$2:$H$17,C65)*E65+INDEX(Matrices!$I$2:$I$17,C65)*F65+INDEX(Matrices!$J$2:$J$17,C65)*G65,"")</f>
        <v/>
      </c>
      <c r="J65">
        <f>IF(AND(Report!$F$6&lt;&gt;"",COUNT(Spectra!$L$5:$L$40)&gt;0),INDEX(Matrices!$K$2:$K$17,C65)*E65+INDEX(Matrices!$L$2:$L$17,C65)*F65+INDEX(Matrices!$M$2:$M$17,C65)*G65,"")</f>
        <v/>
      </c>
      <c r="K65">
        <f>IF(AND(Report!$F$6&lt;&gt;"",COUNT(Spectra!$L$5:$L$40)&gt;0),SQRT(I65^2+J65^2),"")</f>
        <v/>
      </c>
      <c r="L65">
        <f>IF(AND(Report!$F$6&lt;&gt;"",COUNT(Spectra!$L$5:$L$40)&gt;0),IF(K65=0,0,MOD(DEGREES(ATAN2(I65,J65)),360)),"")</f>
        <v/>
      </c>
      <c r="M65">
        <f>IF(AND(Report!$F$6&lt;&gt;"",COUNT(Spectra!$L$5:$L$40)&gt;0),IF(H65/100&gt;(6/29)^3,(H65/100)^(1/3),(1/3)*(29/6)^2*H65/100+16/116)*116-16,"")</f>
        <v/>
      </c>
      <c r="N65">
        <f>IF(AND(Report!$F$6&lt;&gt;"",COUNT(Spectra!$L$5:$L$40)&gt;0),EXP(0.026742553710937*(M65-51.576165618406904))/0.45888671875,"")</f>
        <v/>
      </c>
      <c r="O65">
        <f>IF(AND(Report!$F$6&lt;&gt;"",COUNT(Spectra!$L$5:$L$40)&gt;0),K65/N65,"")</f>
        <v/>
      </c>
      <c r="P65">
        <f>IF(AND(Report!$F$6&lt;&gt;"",COUNT(Spectra!$L$5:$L$40)&gt;0),IF(AND(L65&gt;1,L65&lt;181),SIN(RADIANS(L65-1))^3,0)+IF(AND(L65&gt;104,L65&lt;284),0.39*COS(RADIANS(L65-14))^2,0),"")</f>
        <v/>
      </c>
      <c r="Q65">
        <f>IF(AND(Report!$F$6&lt;&gt;"",COUNT(Spectra!$L$5:$L$40)&gt;0),62*(P65+0.31),"")</f>
        <v/>
      </c>
      <c r="R65">
        <f>IF(AND(Report!$F$6&lt;&gt;"",COUNT(Spectra!$L$5:$L$40)&gt;0),0.36*(P65+0.19),"")</f>
        <v/>
      </c>
      <c r="S65">
        <f>IF(AND(Report!$F$6&lt;&gt;"",COUNT(Spectra!$L$5:$L$40)&gt;0),Q65*(LN(O65/80+R65)-LN(R65)),"")</f>
        <v/>
      </c>
      <c r="T65">
        <f>IF(AND(Report!$F$6&lt;&gt;"",COUNT(Spectra!$L$5:$L$40)&gt;0),M65,"")</f>
        <v/>
      </c>
      <c r="U65">
        <f>IF(AND(Report!$F$6&lt;&gt;"",COUNT(Spectra!$L$5:$L$40)&gt;0),S65*COS(RADIANS(L65)),"")</f>
        <v/>
      </c>
      <c r="V65">
        <f>IF(AND(Report!$F$6&lt;&gt;"",COUNT(Spectra!$L$5:$L$40)&gt;0),S65*SIN(RADIANS(L65)),"")</f>
        <v/>
      </c>
      <c r="W65">
        <f>IF(AND(Report!$F$6&lt;&gt;"",COUNT(Spectra!$L$5:$L$40)&gt;0),IF(E65/INDEX(Matrices!$B$2:$B$17,C65)&gt;0.008856,(E65/INDEX(Matrices!$B$2:$B$17,C65))^(1/3),7.787*E65/INDEX(Matrices!$B$2:$B$17,C65)+16/116),"")</f>
        <v/>
      </c>
      <c r="X65">
        <f>IF(AND(Report!$F$6&lt;&gt;"",COUNT(Spectra!$L$5:$L$40)&gt;0),IF(F65/INDEX(Matrices!$C$2:$C$17,C65)&gt;0.008856,(F65/INDEX(Matrices!$C$2:$C$17,C65))^(1/3),7.787*F65/INDEX(Matrices!$C$2:$C$17,C65)+16/116),"")</f>
        <v/>
      </c>
      <c r="Y65">
        <f>IF(AND(Report!$F$6&lt;&gt;"",COUNT(Spectra!$L$5:$L$40)&gt;0),IF(G65/INDEX(Matrices!$D$2:$D$17,C65)&gt;0.008856,(G65/INDEX(Matrices!$D$2:$D$17,C65))^(1/3),7.787*G65/INDEX(Matrices!$D$2:$D$17,C65)+16/116),"")</f>
        <v/>
      </c>
      <c r="Z65">
        <f>IF(AND(Report!$F$6&lt;&gt;"",COUNT(Spectra!$L$5:$L$40)&gt;0),116*X65-16,"")</f>
        <v/>
      </c>
      <c r="AA65">
        <f>IF(AND(Report!$F$6&lt;&gt;"",COUNT(Spectra!$L$5:$L$40)&gt;0),500*(W65-X65),"")</f>
        <v/>
      </c>
      <c r="AB65">
        <f>IF(AND(Report!$F$6&lt;&gt;"",COUNT(Spectra!$L$5:$L$40)&gt;0),200*(X65-Y65),"")</f>
        <v/>
      </c>
    </row>
    <row r="66">
      <c r="A66" t="n">
        <v>11</v>
      </c>
      <c r="B66" t="n">
        <v>5</v>
      </c>
      <c r="C66">
        <f>IF(AND(Report!$G$6&lt;&gt;"",COUNT(Spectra!$L$5:$L$40)&gt;0),MATCH(Report!$G$6,Matrices!$A$2:$A$17,0),"")</f>
        <v/>
      </c>
      <c r="D66">
        <f>IF(AND(Report!$G$6&lt;&gt;"",COUNT(Spectra!$L$5:$L$40)&gt;0),MATCH(Report!$G$6,Weights!$B$3:$AW$3,0),"")</f>
        <v/>
      </c>
      <c r="E66">
        <f>IF(AND(Report!$G$6&lt;&gt;"",COUNT(Spectra!$L$5:$L$40)&gt;0),SUMPRODUCT(Spectra!$L$5:$L$40,INDEX(Weights!$B$5:$AW$40,0,D66+0))/Spectra!$N$5,"")</f>
        <v/>
      </c>
      <c r="F66">
        <f>IF(AND(Report!$G$6&lt;&gt;"",COUNT(Spectra!$L$5:$L$40)&gt;0),SUMPRODUCT(Spectra!$L$5:$L$40,INDEX(Weights!$B$5:$AW$40,0,D66+1))/Spectra!$N$5,"")</f>
        <v/>
      </c>
      <c r="G66">
        <f>IF(AND(Report!$G$6&lt;&gt;"",COUNT(Spectra!$L$5:$L$40)&gt;0),SUMPRODUCT(Spectra!$L$5:$L$40,INDEX(Weights!$B$5:$AW$40,0,D66+2))/Spectra!$N$5,"")</f>
        <v/>
      </c>
      <c r="H66">
        <f>IF(AND(Report!$G$6&lt;&gt;"",COUNT(Spectra!$L$5:$L$40)&gt;0),INDEX(Matrices!$E$2:$E$17,C66)*E66+INDEX(Matrices!$F$2:$F$17,C66)*F66+INDEX(Matrices!$G$2:$G$17,C66)*G66,"")</f>
        <v/>
      </c>
      <c r="I66">
        <f>IF(AND(Report!$G$6&lt;&gt;"",COUNT(Spectra!$L$5:$L$40)&gt;0),INDEX(Matrices!$H$2:$H$17,C66)*E66+INDEX(Matrices!$I$2:$I$17,C66)*F66+INDEX(Matrices!$J$2:$J$17,C66)*G66,"")</f>
        <v/>
      </c>
      <c r="J66">
        <f>IF(AND(Report!$G$6&lt;&gt;"",COUNT(Spectra!$L$5:$L$40)&gt;0),INDEX(Matrices!$K$2:$K$17,C66)*E66+INDEX(Matrices!$L$2:$L$17,C66)*F66+INDEX(Matrices!$M$2:$M$17,C66)*G66,"")</f>
        <v/>
      </c>
      <c r="K66">
        <f>IF(AND(Report!$G$6&lt;&gt;"",COUNT(Spectra!$L$5:$L$40)&gt;0),SQRT(I66^2+J66^2),"")</f>
        <v/>
      </c>
      <c r="L66">
        <f>IF(AND(Report!$G$6&lt;&gt;"",COUNT(Spectra!$L$5:$L$40)&gt;0),IF(K66=0,0,MOD(DEGREES(ATAN2(I66,J66)),360)),"")</f>
        <v/>
      </c>
      <c r="M66">
        <f>IF(AND(Report!$G$6&lt;&gt;"",COUNT(Spectra!$L$5:$L$40)&gt;0),IF(H66/100&gt;(6/29)^3,(H66/100)^(1/3),(1/3)*(29/6)^2*H66/100+16/116)*116-16,"")</f>
        <v/>
      </c>
      <c r="N66">
        <f>IF(AND(Report!$G$6&lt;&gt;"",COUNT(Spectra!$L$5:$L$40)&gt;0),EXP(0.026742553710937*(M66-51.576165618406904))/0.45888671875,"")</f>
        <v/>
      </c>
      <c r="O66">
        <f>IF(AND(Report!$G$6&lt;&gt;"",COUNT(Spectra!$L$5:$L$40)&gt;0),K66/N66,"")</f>
        <v/>
      </c>
      <c r="P66">
        <f>IF(AND(Report!$G$6&lt;&gt;"",COUNT(Spectra!$L$5:$L$40)&gt;0),IF(AND(L66&gt;1,L66&lt;181),SIN(RADIANS(L66-1))^3,0)+IF(AND(L66&gt;104,L66&lt;284),0.39*COS(RADIANS(L66-14))^2,0),"")</f>
        <v/>
      </c>
      <c r="Q66">
        <f>IF(AND(Report!$G$6&lt;&gt;"",COUNT(Spectra!$L$5:$L$40)&gt;0),62*(P66+0.31),"")</f>
        <v/>
      </c>
      <c r="R66">
        <f>IF(AND(Report!$G$6&lt;&gt;"",COUNT(Spectra!$L$5:$L$40)&gt;0),0.36*(P66+0.19),"")</f>
        <v/>
      </c>
      <c r="S66">
        <f>IF(AND(Report!$G$6&lt;&gt;"",COUNT(Spectra!$L$5:$L$40)&gt;0),Q66*(LN(O66/80+R66)-LN(R66)),"")</f>
        <v/>
      </c>
      <c r="T66">
        <f>IF(AND(Report!$G$6&lt;&gt;"",COUNT(Spectra!$L$5:$L$40)&gt;0),M66,"")</f>
        <v/>
      </c>
      <c r="U66">
        <f>IF(AND(Report!$G$6&lt;&gt;"",COUNT(Spectra!$L$5:$L$40)&gt;0),S66*COS(RADIANS(L66)),"")</f>
        <v/>
      </c>
      <c r="V66">
        <f>IF(AND(Report!$G$6&lt;&gt;"",COUNT(Spectra!$L$5:$L$40)&gt;0),S66*SIN(RADIANS(L66)),"")</f>
        <v/>
      </c>
      <c r="W66">
        <f>IF(AND(Report!$G$6&lt;&gt;"",COUNT(Spectra!$L$5:$L$40)&gt;0),IF(E66/INDEX(Matrices!$B$2:$B$17,C66)&gt;0.008856,(E66/INDEX(Matrices!$B$2:$B$17,C66))^(1/3),7.787*E66/INDEX(Matrices!$B$2:$B$17,C66)+16/116),"")</f>
        <v/>
      </c>
      <c r="X66">
        <f>IF(AND(Report!$G$6&lt;&gt;"",COUNT(Spectra!$L$5:$L$40)&gt;0),IF(F66/INDEX(Matrices!$C$2:$C$17,C66)&gt;0.008856,(F66/INDEX(Matrices!$C$2:$C$17,C66))^(1/3),7.787*F66/INDEX(Matrices!$C$2:$C$17,C66)+16/116),"")</f>
        <v/>
      </c>
      <c r="Y66">
        <f>IF(AND(Report!$G$6&lt;&gt;"",COUNT(Spectra!$L$5:$L$40)&gt;0),IF(G66/INDEX(Matrices!$D$2:$D$17,C66)&gt;0.008856,(G66/INDEX(Matrices!$D$2:$D$17,C66))^(1/3),7.787*G66/INDEX(Matrices!$D$2:$D$17,C66)+16/116),"")</f>
        <v/>
      </c>
      <c r="Z66">
        <f>IF(AND(Report!$G$6&lt;&gt;"",COUNT(Spectra!$L$5:$L$40)&gt;0),116*X66-16,"")</f>
        <v/>
      </c>
      <c r="AA66">
        <f>IF(AND(Report!$G$6&lt;&gt;"",COUNT(Spectra!$L$5:$L$40)&gt;0),500*(W66-X66),"")</f>
        <v/>
      </c>
      <c r="AB66">
        <f>IF(AND(Report!$G$6&lt;&gt;"",COUNT(Spectra!$L$5:$L$40)&gt;0),200*(X66-Y66),"")</f>
        <v/>
      </c>
    </row>
    <row r="67">
      <c r="A67" t="n">
        <v>11</v>
      </c>
      <c r="B67" t="n">
        <v>6</v>
      </c>
      <c r="C67">
        <f>IF(AND(Report!$H$6&lt;&gt;"",COUNT(Spectra!$L$5:$L$40)&gt;0),MATCH(Report!$H$6,Matrices!$A$2:$A$17,0),"")</f>
        <v/>
      </c>
      <c r="D67">
        <f>IF(AND(Report!$H$6&lt;&gt;"",COUNT(Spectra!$L$5:$L$40)&gt;0),MATCH(Report!$H$6,Weights!$B$3:$AW$3,0),"")</f>
        <v/>
      </c>
      <c r="E67">
        <f>IF(AND(Report!$H$6&lt;&gt;"",COUNT(Spectra!$L$5:$L$40)&gt;0),SUMPRODUCT(Spectra!$L$5:$L$40,INDEX(Weights!$B$5:$AW$40,0,D67+0))/Spectra!$N$5,"")</f>
        <v/>
      </c>
      <c r="F67">
        <f>IF(AND(Report!$H$6&lt;&gt;"",COUNT(Spectra!$L$5:$L$40)&gt;0),SUMPRODUCT(Spectra!$L$5:$L$40,INDEX(Weights!$B$5:$AW$40,0,D67+1))/Spectra!$N$5,"")</f>
        <v/>
      </c>
      <c r="G67">
        <f>IF(AND(Report!$H$6&lt;&gt;"",COUNT(Spectra!$L$5:$L$40)&gt;0),SUMPRODUCT(Spectra!$L$5:$L$40,INDEX(Weights!$B$5:$AW$40,0,D67+2))/Spectra!$N$5,"")</f>
        <v/>
      </c>
      <c r="H67">
        <f>IF(AND(Report!$H$6&lt;&gt;"",COUNT(Spectra!$L$5:$L$40)&gt;0),INDEX(Matrices!$E$2:$E$17,C67)*E67+INDEX(Matrices!$F$2:$F$17,C67)*F67+INDEX(Matrices!$G$2:$G$17,C67)*G67,"")</f>
        <v/>
      </c>
      <c r="I67">
        <f>IF(AND(Report!$H$6&lt;&gt;"",COUNT(Spectra!$L$5:$L$40)&gt;0),INDEX(Matrices!$H$2:$H$17,C67)*E67+INDEX(Matrices!$I$2:$I$17,C67)*F67+INDEX(Matrices!$J$2:$J$17,C67)*G67,"")</f>
        <v/>
      </c>
      <c r="J67">
        <f>IF(AND(Report!$H$6&lt;&gt;"",COUNT(Spectra!$L$5:$L$40)&gt;0),INDEX(Matrices!$K$2:$K$17,C67)*E67+INDEX(Matrices!$L$2:$L$17,C67)*F67+INDEX(Matrices!$M$2:$M$17,C67)*G67,"")</f>
        <v/>
      </c>
      <c r="K67">
        <f>IF(AND(Report!$H$6&lt;&gt;"",COUNT(Spectra!$L$5:$L$40)&gt;0),SQRT(I67^2+J67^2),"")</f>
        <v/>
      </c>
      <c r="L67">
        <f>IF(AND(Report!$H$6&lt;&gt;"",COUNT(Spectra!$L$5:$L$40)&gt;0),IF(K67=0,0,MOD(DEGREES(ATAN2(I67,J67)),360)),"")</f>
        <v/>
      </c>
      <c r="M67">
        <f>IF(AND(Report!$H$6&lt;&gt;"",COUNT(Spectra!$L$5:$L$40)&gt;0),IF(H67/100&gt;(6/29)^3,(H67/100)^(1/3),(1/3)*(29/6)^2*H67/100+16/116)*116-16,"")</f>
        <v/>
      </c>
      <c r="N67">
        <f>IF(AND(Report!$H$6&lt;&gt;"",COUNT(Spectra!$L$5:$L$40)&gt;0),EXP(0.026742553710937*(M67-51.576165618406904))/0.45888671875,"")</f>
        <v/>
      </c>
      <c r="O67">
        <f>IF(AND(Report!$H$6&lt;&gt;"",COUNT(Spectra!$L$5:$L$40)&gt;0),K67/N67,"")</f>
        <v/>
      </c>
      <c r="P67">
        <f>IF(AND(Report!$H$6&lt;&gt;"",COUNT(Spectra!$L$5:$L$40)&gt;0),IF(AND(L67&gt;1,L67&lt;181),SIN(RADIANS(L67-1))^3,0)+IF(AND(L67&gt;104,L67&lt;284),0.39*COS(RADIANS(L67-14))^2,0),"")</f>
        <v/>
      </c>
      <c r="Q67">
        <f>IF(AND(Report!$H$6&lt;&gt;"",COUNT(Spectra!$L$5:$L$40)&gt;0),62*(P67+0.31),"")</f>
        <v/>
      </c>
      <c r="R67">
        <f>IF(AND(Report!$H$6&lt;&gt;"",COUNT(Spectra!$L$5:$L$40)&gt;0),0.36*(P67+0.19),"")</f>
        <v/>
      </c>
      <c r="S67">
        <f>IF(AND(Report!$H$6&lt;&gt;"",COUNT(Spectra!$L$5:$L$40)&gt;0),Q67*(LN(O67/80+R67)-LN(R67)),"")</f>
        <v/>
      </c>
      <c r="T67">
        <f>IF(AND(Report!$H$6&lt;&gt;"",COUNT(Spectra!$L$5:$L$40)&gt;0),M67,"")</f>
        <v/>
      </c>
      <c r="U67">
        <f>IF(AND(Report!$H$6&lt;&gt;"",COUNT(Spectra!$L$5:$L$40)&gt;0),S67*COS(RADIANS(L67)),"")</f>
        <v/>
      </c>
      <c r="V67">
        <f>IF(AND(Report!$H$6&lt;&gt;"",COUNT(Spectra!$L$5:$L$40)&gt;0),S67*SIN(RADIANS(L67)),"")</f>
        <v/>
      </c>
      <c r="W67">
        <f>IF(AND(Report!$H$6&lt;&gt;"",COUNT(Spectra!$L$5:$L$40)&gt;0),IF(E67/INDEX(Matrices!$B$2:$B$17,C67)&gt;0.008856,(E67/INDEX(Matrices!$B$2:$B$17,C67))^(1/3),7.787*E67/INDEX(Matrices!$B$2:$B$17,C67)+16/116),"")</f>
        <v/>
      </c>
      <c r="X67">
        <f>IF(AND(Report!$H$6&lt;&gt;"",COUNT(Spectra!$L$5:$L$40)&gt;0),IF(F67/INDEX(Matrices!$C$2:$C$17,C67)&gt;0.008856,(F67/INDEX(Matrices!$C$2:$C$17,C67))^(1/3),7.787*F67/INDEX(Matrices!$C$2:$C$17,C67)+16/116),"")</f>
        <v/>
      </c>
      <c r="Y67">
        <f>IF(AND(Report!$H$6&lt;&gt;"",COUNT(Spectra!$L$5:$L$40)&gt;0),IF(G67/INDEX(Matrices!$D$2:$D$17,C67)&gt;0.008856,(G67/INDEX(Matrices!$D$2:$D$17,C67))^(1/3),7.787*G67/INDEX(Matrices!$D$2:$D$17,C67)+16/116),"")</f>
        <v/>
      </c>
      <c r="Z67">
        <f>IF(AND(Report!$H$6&lt;&gt;"",COUNT(Spectra!$L$5:$L$40)&gt;0),116*X67-16,"")</f>
        <v/>
      </c>
      <c r="AA67">
        <f>IF(AND(Report!$H$6&lt;&gt;"",COUNT(Spectra!$L$5:$L$40)&gt;0),500*(W67-X67),"")</f>
        <v/>
      </c>
      <c r="AB67">
        <f>IF(AND(Report!$H$6&lt;&gt;"",COUNT(Spectra!$L$5:$L$40)&gt;0),200*(X67-Y67),"")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2026-10-22T00:28:36Z</dcterms:created>
  <dcterms:modified xsi:type="dcterms:W3CDTF">2026-10-22T00:28:36Z</dcterms:modified>
</cp:coreProperties>
</file>