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Calculator" sheetId="2" state="visible" r:id="rId2"/>
    <sheet name="MAT" sheetId="3" state="visible" r:id="rId3"/>
    <sheet name="Matrices"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sz val="14"/>
    </font>
    <font>
      <i val="1"/>
    </font>
    <font>
      <sz val="11"/>
    </font>
  </fonts>
  <fills count="4">
    <fill>
      <patternFill/>
    </fill>
    <fill>
      <patternFill patternType="gray125"/>
    </fill>
    <fill>
      <patternFill patternType="solid">
        <fgColor rgb="00DDE7F3"/>
      </patternFill>
    </fill>
    <fill>
      <patternFill patternType="solid">
        <fgColor rgb="00FFF6D5"/>
      </patternFill>
    </fill>
  </fills>
  <borders count="1">
    <border>
      <left/>
      <right/>
      <top/>
      <bottom/>
      <diagonal/>
    </border>
  </borders>
  <cellStyleXfs count="1">
    <xf numFmtId="0" fontId="0" fillId="0" borderId="0"/>
  </cellStyleXfs>
  <cellXfs count="9">
    <xf numFmtId="0" fontId="0" fillId="0" borderId="0" pivotButton="0" quotePrefix="0" xfId="0"/>
    <xf numFmtId="0" fontId="2" fillId="0" borderId="0" pivotButton="0" quotePrefix="0" xfId="0"/>
    <xf numFmtId="0" fontId="4" fillId="0" borderId="0" pivotButton="0" quotePrefix="0" xfId="0"/>
    <xf numFmtId="0" fontId="2" fillId="0" borderId="0" applyAlignment="1" pivotButton="0" quotePrefix="0" xfId="0">
      <alignment/>
    </xf>
    <xf numFmtId="0" fontId="0" fillId="0" borderId="0" applyAlignment="1" pivotButton="0" quotePrefix="0" xfId="0">
      <alignment/>
    </xf>
    <xf numFmtId="0" fontId="3" fillId="0" borderId="0" pivotButton="0" quotePrefix="0" xfId="0"/>
    <xf numFmtId="0" fontId="1" fillId="2" borderId="0" pivotButton="0" quotePrefix="0" xfId="0"/>
    <xf numFmtId="0" fontId="0" fillId="3"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20" customWidth="1" min="1" max="1"/>
  </cols>
  <sheetData>
    <row r="1">
      <c r="A1" s="1" t="inlineStr">
        <is>
          <t>WLab calculator: companion to "Color Without the Fine Print"</t>
        </is>
      </c>
    </row>
    <row r="2">
      <c r="A2" s="2" t="inlineStr"/>
    </row>
    <row r="3">
      <c r="A3" s="2" t="inlineStr">
        <is>
          <t>Calculator  Enter XYZ (white Y = 100) and pick the observing condition. You get Wpt, WLab and CIELAB.</t>
        </is>
      </c>
    </row>
    <row r="4">
      <c r="A4" s="2" t="inlineStr">
        <is>
          <t xml:space="preserve">            Put another row's name under "Compare with" to get DeltaE(WLab), DeltaE*ab and DeltaE00 between them.</t>
        </is>
      </c>
    </row>
    <row r="5">
      <c r="A5" s="2" t="inlineStr">
        <is>
          <t xml:space="preserve">            The example rows include the guide's Purplish Blue patches (when the ColorChecker data were present).</t>
        </is>
      </c>
    </row>
    <row r="6">
      <c r="A6" s="2" t="inlineStr">
        <is>
          <t>MAT         Carry XYZ from one observing condition to another: a different light, a different observer, or both.</t>
        </is>
      </c>
    </row>
    <row r="7">
      <c r="A7" s="2" t="inlineStr">
        <is>
          <t>Matrices    The Wpt normalization for each listed condition, and its inverse.</t>
        </is>
      </c>
    </row>
    <row r="8">
      <c r="A8" s="2" t="inlineStr"/>
    </row>
    <row r="9">
      <c r="A9" s="2" t="inlineStr">
        <is>
          <t>Only the conditions on the Matrices sheet are available here. For any other observer or light, compute the</t>
        </is>
      </c>
    </row>
    <row r="10">
      <c r="A10" s="2" t="inlineStr">
        <is>
          <t>normalization with the Octave or Python code in this package and add a row to the Matrices sheet.</t>
        </is>
      </c>
    </row>
    <row r="11">
      <c r="A11" s="2" t="inlineStr"/>
    </row>
    <row r="12">
      <c r="A12" s="2" t="inlineStr">
        <is>
          <t>WLab differences are material color differences. They correspond to perceived color differences under a</t>
        </is>
      </c>
    </row>
    <row r="13">
      <c r="A13" s="2" t="inlineStr">
        <is>
          <t>reference observing condition, like DeltaE00; WLab is not a color appearance space.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D4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26" customWidth="1" min="1" max="1"/>
    <col width="20" customWidth="1" min="2" max="2"/>
    <col width="24" customWidth="1" min="6" max="6"/>
  </cols>
  <sheetData>
    <row r="1">
      <c r="A1" s="3" t="inlineStr">
        <is>
          <t>WLab calculator</t>
        </is>
      </c>
      <c r="B1" s="4" t="n"/>
      <c r="C1" s="4" t="n"/>
      <c r="D1" s="4" t="n"/>
      <c r="E1" s="4" t="n"/>
      <c r="F1" s="4" t="n"/>
      <c r="G1" s="4" t="n"/>
      <c r="H1" s="4" t="n"/>
      <c r="I1" s="4" t="n"/>
      <c r="J1" s="4" t="n"/>
      <c r="K1" s="4" t="n"/>
      <c r="L1" s="4" t="n"/>
      <c r="M1" s="4" t="n"/>
      <c r="N1" s="4" t="n"/>
      <c r="O1" s="4" t="n"/>
      <c r="P1" s="4" t="n"/>
      <c r="Q1" s="4" t="n"/>
      <c r="R1" s="4" t="n"/>
      <c r="S1" s="4" t="n"/>
      <c r="T1" s="4" t="n"/>
      <c r="U1" s="4" t="n"/>
      <c r="V1" s="4" t="n"/>
      <c r="W1" s="4" t="n"/>
      <c r="X1" s="4" t="n"/>
      <c r="Y1" s="4" t="n"/>
      <c r="Z1" s="4" t="n"/>
      <c r="AA1" s="4" t="n"/>
      <c r="AB1" s="4" t="n"/>
      <c r="AC1" s="4" t="n"/>
      <c r="AD1" s="4" t="n"/>
      <c r="AE1" s="4" t="n"/>
      <c r="AF1" s="4" t="n"/>
      <c r="AG1" s="4" t="n"/>
      <c r="AH1" s="4" t="n"/>
      <c r="AI1" s="4" t="n"/>
      <c r="AJ1" s="4" t="n"/>
      <c r="AK1" s="4" t="n"/>
      <c r="AL1" s="4" t="n"/>
      <c r="AM1" s="4" t="n"/>
      <c r="AN1" s="4" t="n"/>
      <c r="AO1" s="4" t="n"/>
      <c r="AP1" s="4" t="n"/>
      <c r="AQ1" s="4" t="n"/>
      <c r="AR1" s="4" t="n"/>
      <c r="AS1" s="4" t="n"/>
      <c r="AT1" s="4" t="n"/>
      <c r="AU1" s="4" t="n"/>
      <c r="AV1" s="4" t="n"/>
      <c r="AW1" s="4" t="n"/>
      <c r="AX1" s="4" t="n"/>
      <c r="AY1" s="4" t="n"/>
      <c r="AZ1" s="4" t="n"/>
      <c r="BA1" s="4" t="n"/>
      <c r="BB1" s="4" t="n"/>
      <c r="BC1" s="4" t="n"/>
      <c r="BD1" s="4" t="n"/>
    </row>
    <row r="2">
      <c r="A2" s="4" t="inlineStr">
        <is>
          <t>Yellow cells are inputs. Pick a condition, enter X, Y, Z (white Y = 100). "Compare with" names another row to get the differences.</t>
        </is>
      </c>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c r="AA2" s="4" t="n"/>
      <c r="AB2" s="4" t="n"/>
      <c r="AC2" s="4" t="n"/>
      <c r="AD2" s="4" t="n"/>
      <c r="AE2" s="4" t="n"/>
      <c r="AF2" s="4" t="n"/>
      <c r="AG2" s="4" t="n"/>
      <c r="AH2" s="4" t="n"/>
      <c r="AI2" s="4" t="n"/>
      <c r="AJ2" s="4" t="n"/>
      <c r="AK2" s="4" t="n"/>
      <c r="AL2" s="4" t="n"/>
      <c r="AM2" s="4" t="n"/>
      <c r="AN2" s="4" t="n"/>
      <c r="AO2" s="4" t="n"/>
      <c r="AP2" s="4" t="n"/>
      <c r="AQ2" s="4" t="n"/>
      <c r="AR2" s="4" t="n"/>
      <c r="AS2" s="4" t="n"/>
      <c r="AT2" s="4" t="n"/>
      <c r="AU2" s="4" t="n"/>
      <c r="AV2" s="4" t="n"/>
      <c r="AW2" s="4" t="n"/>
      <c r="AX2" s="4" t="n"/>
      <c r="AY2" s="4" t="n"/>
      <c r="AZ2" s="4" t="n"/>
      <c r="BA2" s="4" t="n"/>
      <c r="BB2" s="4" t="n"/>
      <c r="BC2" s="4" t="n"/>
      <c r="BD2" s="4" t="n"/>
    </row>
    <row r="3">
      <c r="A3" s="4" t="inlineStr">
        <is>
          <t>WLab differences are material color differences; they correspond to perceived differences under a reference observing condition, like DeltaE00. WLab is not a color appearance space.</t>
        </is>
      </c>
      <c r="B3" s="4" t="n"/>
      <c r="C3" s="4" t="n"/>
      <c r="D3" s="4" t="n"/>
      <c r="E3" s="4" t="n"/>
      <c r="F3" s="4" t="n"/>
      <c r="G3" s="4" t="n"/>
      <c r="H3" s="4" t="n"/>
      <c r="I3" s="4" t="n"/>
      <c r="J3" s="4" t="n"/>
      <c r="K3" s="4" t="n"/>
      <c r="L3" s="4" t="n"/>
      <c r="M3" s="4" t="n"/>
      <c r="N3" s="4" t="n"/>
      <c r="O3" s="4" t="n"/>
      <c r="P3" s="4" t="n"/>
      <c r="Q3" s="4" t="n"/>
      <c r="R3" s="4" t="n"/>
      <c r="S3" s="4" t="n"/>
      <c r="T3" s="4" t="n"/>
      <c r="U3" s="4" t="n"/>
      <c r="V3" s="4" t="n"/>
      <c r="W3" s="4" t="n"/>
      <c r="X3" s="4" t="n"/>
      <c r="Y3" s="4" t="n"/>
      <c r="Z3" s="4" t="n"/>
      <c r="AA3" s="4" t="n"/>
      <c r="AB3" s="4" t="n"/>
      <c r="AC3" s="4" t="n"/>
      <c r="AD3" s="4" t="n"/>
      <c r="AE3" s="4" t="n"/>
      <c r="AF3" s="4" t="n"/>
      <c r="AG3" s="4" t="n"/>
      <c r="AH3" s="4" t="n"/>
      <c r="AI3" s="4" t="n"/>
      <c r="AJ3" s="4" t="n"/>
      <c r="AK3" s="4" t="n"/>
      <c r="AL3" s="4" t="n"/>
      <c r="AM3" s="4" t="n"/>
      <c r="AN3" s="4" t="n"/>
      <c r="AO3" s="4" t="n"/>
      <c r="AP3" s="4" t="n"/>
      <c r="AQ3" s="4" t="n"/>
      <c r="AR3" s="4" t="n"/>
      <c r="AS3" s="4" t="n"/>
      <c r="AT3" s="4" t="n"/>
      <c r="AU3" s="4" t="n"/>
      <c r="AV3" s="4" t="n"/>
      <c r="AW3" s="4" t="n"/>
      <c r="AX3" s="4" t="n"/>
      <c r="AY3" s="4" t="n"/>
      <c r="AZ3" s="4" t="n"/>
      <c r="BA3" s="4" t="n"/>
      <c r="BB3" s="4" t="n"/>
      <c r="BC3" s="4" t="n"/>
      <c r="BD3" s="4" t="n"/>
    </row>
    <row r="4">
      <c r="T4" s="5" t="inlineStr">
        <is>
          <t>Working columns (no need to read them)</t>
        </is>
      </c>
    </row>
    <row r="5">
      <c r="A5" s="6" t="inlineStr">
        <is>
          <t>Name</t>
        </is>
      </c>
      <c r="B5" s="6" t="inlineStr">
        <is>
          <t>Condition</t>
        </is>
      </c>
      <c r="C5" s="6" t="inlineStr">
        <is>
          <t>X</t>
        </is>
      </c>
      <c r="D5" s="6" t="inlineStr">
        <is>
          <t>Y</t>
        </is>
      </c>
      <c r="E5" s="6" t="inlineStr">
        <is>
          <t>Z</t>
        </is>
      </c>
      <c r="F5" s="6" t="inlineStr">
        <is>
          <t>Compare with</t>
        </is>
      </c>
      <c r="G5" s="6" t="inlineStr">
        <is>
          <t>W</t>
        </is>
      </c>
      <c r="H5" s="6" t="inlineStr">
        <is>
          <t>p</t>
        </is>
      </c>
      <c r="I5" s="6" t="inlineStr">
        <is>
          <t>t</t>
        </is>
      </c>
      <c r="J5" s="6" t="inlineStr">
        <is>
          <t>Lw</t>
        </is>
      </c>
      <c r="K5" s="6" t="inlineStr">
        <is>
          <t>aw</t>
        </is>
      </c>
      <c r="L5" s="6" t="inlineStr">
        <is>
          <t>bw</t>
        </is>
      </c>
      <c r="M5" s="6" t="inlineStr">
        <is>
          <t>L*</t>
        </is>
      </c>
      <c r="N5" s="6" t="inlineStr">
        <is>
          <t>a*</t>
        </is>
      </c>
      <c r="O5" s="6" t="inlineStr">
        <is>
          <t>b*</t>
        </is>
      </c>
      <c r="P5" s="6" t="inlineStr">
        <is>
          <t>ΔE(WLab)</t>
        </is>
      </c>
      <c r="Q5" s="6" t="inlineStr">
        <is>
          <t>ΔE*ab</t>
        </is>
      </c>
      <c r="R5" s="6" t="inlineStr">
        <is>
          <t>ΔE00</t>
        </is>
      </c>
      <c r="S5" s="6" t="inlineStr"/>
      <c r="T5" s="6" t="inlineStr">
        <is>
          <t>mrow</t>
        </is>
      </c>
      <c r="U5" s="6" t="inlineStr">
        <is>
          <t>C</t>
        </is>
      </c>
      <c r="V5" s="6" t="inlineStr">
        <is>
          <t>h</t>
        </is>
      </c>
      <c r="W5" s="6" t="inlineStr">
        <is>
          <t>Wlin</t>
        </is>
      </c>
      <c r="X5" s="6" t="inlineStr">
        <is>
          <t>s</t>
        </is>
      </c>
      <c r="Y5" s="6" t="inlineStr">
        <is>
          <t>C1</t>
        </is>
      </c>
      <c r="Z5" s="6" t="inlineStr">
        <is>
          <t>r</t>
        </is>
      </c>
      <c r="AA5" s="6" t="inlineStr">
        <is>
          <t>b1</t>
        </is>
      </c>
      <c r="AB5" s="6" t="inlineStr">
        <is>
          <t>b2</t>
        </is>
      </c>
      <c r="AC5" s="6" t="inlineStr">
        <is>
          <t>C2</t>
        </is>
      </c>
      <c r="AD5" s="6" t="inlineStr">
        <is>
          <t>fx</t>
        </is>
      </c>
      <c r="AE5" s="6" t="inlineStr">
        <is>
          <t>fy</t>
        </is>
      </c>
      <c r="AF5" s="6" t="inlineStr">
        <is>
          <t>fz</t>
        </is>
      </c>
      <c r="AG5" s="6" t="inlineStr">
        <is>
          <t>crow</t>
        </is>
      </c>
      <c r="AH5" s="6" t="inlineStr">
        <is>
          <t>L2</t>
        </is>
      </c>
      <c r="AI5" s="6" t="inlineStr">
        <is>
          <t>a2</t>
        </is>
      </c>
      <c r="AJ5" s="6" t="inlineStr">
        <is>
          <t>b2_</t>
        </is>
      </c>
      <c r="AK5" s="6" t="inlineStr">
        <is>
          <t>Cm</t>
        </is>
      </c>
      <c r="AL5" s="6" t="inlineStr">
        <is>
          <t>G</t>
        </is>
      </c>
      <c r="AM5" s="6" t="inlineStr">
        <is>
          <t>ap1</t>
        </is>
      </c>
      <c r="AN5" s="6" t="inlineStr">
        <is>
          <t>ap2</t>
        </is>
      </c>
      <c r="AO5" s="6" t="inlineStr">
        <is>
          <t>Cp1</t>
        </is>
      </c>
      <c r="AP5" s="6" t="inlineStr">
        <is>
          <t>Cp2</t>
        </is>
      </c>
      <c r="AQ5" s="6" t="inlineStr">
        <is>
          <t>hp1</t>
        </is>
      </c>
      <c r="AR5" s="6" t="inlineStr">
        <is>
          <t>hp2</t>
        </is>
      </c>
      <c r="AS5" s="6" t="inlineStr">
        <is>
          <t>dh</t>
        </is>
      </c>
      <c r="AT5" s="6" t="inlineStr">
        <is>
          <t>dHp</t>
        </is>
      </c>
      <c r="AU5" s="6" t="inlineStr">
        <is>
          <t>Lpm</t>
        </is>
      </c>
      <c r="AV5" s="6" t="inlineStr">
        <is>
          <t>Cpm</t>
        </is>
      </c>
      <c r="AW5" s="6" t="inlineStr">
        <is>
          <t>hs</t>
        </is>
      </c>
      <c r="AX5" s="6" t="inlineStr">
        <is>
          <t>hpm</t>
        </is>
      </c>
      <c r="AY5" s="6" t="inlineStr">
        <is>
          <t>T</t>
        </is>
      </c>
      <c r="AZ5" s="6" t="inlineStr">
        <is>
          <t>RC</t>
        </is>
      </c>
      <c r="BA5" s="6" t="inlineStr">
        <is>
          <t>SL</t>
        </is>
      </c>
      <c r="BB5" s="6" t="inlineStr">
        <is>
          <t>SC</t>
        </is>
      </c>
      <c r="BC5" s="6" t="inlineStr">
        <is>
          <t>SH</t>
        </is>
      </c>
      <c r="BD5" s="6" t="inlineStr">
        <is>
          <t>RT</t>
        </is>
      </c>
    </row>
    <row r="6">
      <c r="A6" s="7" t="inlineStr">
        <is>
          <t>5PB 5/6 D65</t>
        </is>
      </c>
      <c r="B6" s="7" t="inlineStr">
        <is>
          <t>CIE 1931 2deg D65</t>
        </is>
      </c>
      <c r="C6" s="7" t="n">
        <v>18.9333</v>
      </c>
      <c r="D6" s="7" t="n">
        <v>19.8096</v>
      </c>
      <c r="E6" s="7" t="n">
        <v>37.83</v>
      </c>
      <c r="F6" s="7" t="n"/>
      <c r="G6" s="8">
        <f>IF($C6="","",INDEX(Matrices!$G$2:$G$15,T6)*C6+INDEX(Matrices!$H$2:$H$15,T6)*D6+INDEX(Matrices!$I$2:$I$15,T6)*E6)</f>
        <v/>
      </c>
      <c r="H6" s="8">
        <f>IF($C6="","",INDEX(Matrices!$J$2:$J$15,T6)*C6+INDEX(Matrices!$K$2:$K$15,T6)*D6+INDEX(Matrices!$L$2:$L$15,T6)*E6)</f>
        <v/>
      </c>
      <c r="I6" s="8">
        <f>IF($C6="","",INDEX(Matrices!$M$2:$M$15,T6)*C6+INDEX(Matrices!$N$2:$N$15,T6)*D6+INDEX(Matrices!$O$2:$O$15,T6)*E6)</f>
        <v/>
      </c>
      <c r="J6" s="8">
        <f>IF($C6="","",W6)</f>
        <v/>
      </c>
      <c r="K6" s="8">
        <f>IF($C6="","",AC6*COS(RADIANS(V6)))</f>
        <v/>
      </c>
      <c r="L6" s="8">
        <f>IF($C6="","",AC6*SIN(RADIANS(V6)))</f>
        <v/>
      </c>
      <c r="M6" s="8">
        <f>IF($C6="","",116*AE6-16)</f>
        <v/>
      </c>
      <c r="N6" s="8">
        <f>IF($C6="","",500*(AD6-AE6))</f>
        <v/>
      </c>
      <c r="O6" s="8">
        <f>IF($C6="","",200*(AE6-AF6))</f>
        <v/>
      </c>
      <c r="P6" s="8">
        <f>IF(OR($C6="",F6=""),"",SQRT((J6-INDEX($J$6:$J$45,AG6))^2+(K6-INDEX($K$6:$K$45,AG6))^2+(L6-INDEX($L$6:$L$45,AG6))^2))</f>
        <v/>
      </c>
      <c r="Q6" s="8">
        <f>IF(OR($C6="",F6=""),"",SQRT((M6-INDEX($M$6:$M$45,AG6))^2+(N6-INDEX($N$6:$N$45,AG6))^2+(O6-INDEX($O$6:$O$45,AG6))^2))</f>
        <v/>
      </c>
      <c r="R6" s="8">
        <f>IF(OR($C6="",F6=""),"",SQRT(((AH6-M6)/BA6)^2+((AP6-AO6)/BB6)^2+(AT6/BC6)^2+BD6*((AP6-AO6)/BB6)*(AT6/BC6)))</f>
        <v/>
      </c>
      <c r="T6">
        <f>IF($C6="","",MATCH(B6,Matrices!$A$2:$A$15,0))</f>
        <v/>
      </c>
      <c r="U6">
        <f>IF($C6="","",SQRT(H6^2+I6^2))</f>
        <v/>
      </c>
      <c r="V6">
        <f>IF($C6="","",IF(U6=0,0,MOD(DEGREES(ATAN2(H6,I6)),360)))</f>
        <v/>
      </c>
      <c r="W6">
        <f>IF($C6="","",IF(G6/100&gt;(6/29)^3,(G6/100)^(1/3),(1/3)*(29/6)^2*G6/100+16/116)*116-16)</f>
        <v/>
      </c>
      <c r="X6">
        <f>IF($C6="","",EXP(0.026742553710937*(W6-51.576165618406904))/0.45888671875)</f>
        <v/>
      </c>
      <c r="Y6">
        <f>IF($C6="","",U6/X6)</f>
        <v/>
      </c>
      <c r="Z6">
        <f>IF($C6="","",IF(AND(V6&gt;1,V6&lt;181),SIN(RADIANS(V6-1))^3,0)+IF(AND(V6&gt;104,V6&lt;284),0.39*COS(RADIANS(V6-14))^2,0))</f>
        <v/>
      </c>
      <c r="AA6">
        <f>IF($C6="","",62*(Z6+0.31))</f>
        <v/>
      </c>
      <c r="AB6">
        <f>IF($C6="","",0.36*(Z6+0.19))</f>
        <v/>
      </c>
      <c r="AC6">
        <f>IF($C6="","",AA6*(LN(Y6/80+AB6)-LN(AB6)))</f>
        <v/>
      </c>
      <c r="AD6">
        <f>IF($C6="","",IF(C6/INDEX(Matrices!$D$2:$D$15,T6)&gt;0.008856,(C6/INDEX(Matrices!$D$2:$D$15,T6))^(1/3),7.787*C6/INDEX(Matrices!$D$2:$D$15,T6)+16/116))</f>
        <v/>
      </c>
      <c r="AE6">
        <f>IF($C6="","",IF(D6/INDEX(Matrices!$E$2:$E$15,T6)&gt;0.008856,(D6/INDEX(Matrices!$E$2:$E$15,T6))^(1/3),7.787*D6/INDEX(Matrices!$E$2:$E$15,T6)+16/116))</f>
        <v/>
      </c>
      <c r="AF6">
        <f>IF($C6="","",IF(E6/INDEX(Matrices!$F$2:$F$15,T6)&gt;0.008856,(E6/INDEX(Matrices!$F$2:$F$15,T6))^(1/3),7.787*E6/INDEX(Matrices!$F$2:$F$15,T6)+16/116))</f>
        <v/>
      </c>
      <c r="AG6">
        <f>IF(OR($C6="",F6=""),"",MATCH(F6,$A$6:$A$45,0))</f>
        <v/>
      </c>
      <c r="AH6">
        <f>IF(OR($C6="",F6=""),"",INDEX($M$6:$M$45,AG6))</f>
        <v/>
      </c>
      <c r="AI6">
        <f>IF(OR($C6="",F6=""),"",INDEX($N$6:$N$45,AG6))</f>
        <v/>
      </c>
      <c r="AJ6">
        <f>IF(OR($C6="",F6=""),"",INDEX($O$6:$O$45,AG6))</f>
        <v/>
      </c>
      <c r="AK6">
        <f>IF(OR($C6="",F6=""),"",(SQRT(N6^2+O6^2)+SQRT(AI6^2+AJ6^2))/2)</f>
        <v/>
      </c>
      <c r="AL6">
        <f>IF(OR($C6="",F6=""),"",0.5*(1-SQRT(AK6^7/(AK6^7+25^7))))</f>
        <v/>
      </c>
      <c r="AM6">
        <f>IF(OR($C6="",F6=""),"",(1+AL6)*N6)</f>
        <v/>
      </c>
      <c r="AN6">
        <f>IF(OR($C6="",F6=""),"",(1+AL6)*AI6)</f>
        <v/>
      </c>
      <c r="AO6">
        <f>IF(OR($C6="",F6=""),"",SQRT(AM6^2+O6^2))</f>
        <v/>
      </c>
      <c r="AP6">
        <f>IF(OR($C6="",F6=""),"",SQRT(AN6^2+AJ6^2))</f>
        <v/>
      </c>
      <c r="AQ6">
        <f>IF(OR($C6="",F6=""),"",IF(AO6=0,0,MOD(DEGREES(ATAN2(AM6,O6)),360)))</f>
        <v/>
      </c>
      <c r="AR6">
        <f>IF(OR($C6="",F6=""),"",IF(AP6=0,0,MOD(DEGREES(ATAN2(AN6,AJ6)),360)))</f>
        <v/>
      </c>
      <c r="AS6">
        <f>IF(OR($C6="",F6=""),"",IF(AO6*AP6=0,0,IF((AR6-AQ6)&gt;180,(AR6-AQ6)-360,IF((AR6-AQ6)&lt;-180,(AR6-AQ6)+360,(AR6-AQ6)))))</f>
        <v/>
      </c>
      <c r="AT6">
        <f>IF(OR($C6="",F6=""),"",2*SQRT(AO6*AP6)*SIN(RADIANS(AS6/2)))</f>
        <v/>
      </c>
      <c r="AU6">
        <f>IF(OR($C6="",F6=""),"",(M6+AH6)/2)</f>
        <v/>
      </c>
      <c r="AV6">
        <f>IF(OR($C6="",F6=""),"",(AO6+AP6)/2)</f>
        <v/>
      </c>
      <c r="AW6">
        <f>IF(OR($C6="",F6=""),"",AQ6+AR6)</f>
        <v/>
      </c>
      <c r="AX6">
        <f>IF(OR($C6="",F6=""),"",IF(AO6*AP6=0,AW6,IF(ABS(AQ6-AR6)&gt;180,IF(AW6&lt;360,(AW6+360)/2,(AW6-360)/2),AW6/2)))</f>
        <v/>
      </c>
      <c r="AY6">
        <f>IF(OR($C6="",F6=""),"",1-0.17*COS(RADIANS(AX6-30))+0.24*COS(RADIANS(2*AX6))+0.32*COS(RADIANS(3*AX6+6))-0.2*COS(RADIANS(4*AX6-63)))</f>
        <v/>
      </c>
      <c r="AZ6">
        <f>IF(OR($C6="",F6=""),"",2*SQRT(AV6^7/(AV6^7+25^7)))</f>
        <v/>
      </c>
      <c r="BA6">
        <f>IF(OR($C6="",F6=""),"",1+0.015*(AU6-50)^2/SQRT(20+(AU6-50)^2))</f>
        <v/>
      </c>
      <c r="BB6">
        <f>IF(OR($C6="",F6=""),"",1+0.045*AV6)</f>
        <v/>
      </c>
      <c r="BC6">
        <f>IF(OR($C6="",F6=""),"",1+0.015*AV6*AY6)</f>
        <v/>
      </c>
      <c r="BD6">
        <f>IF(OR($C6="",F6=""),"",-SIN(RADIANS(2*30*EXP(-(((AX6-275)/25)^2))))*AZ6)</f>
        <v/>
      </c>
    </row>
    <row r="7">
      <c r="A7" s="7" t="inlineStr">
        <is>
          <t>5PB 5/6 A</t>
        </is>
      </c>
      <c r="B7" s="7" t="inlineStr">
        <is>
          <t>CIE 1931 2deg A</t>
        </is>
      </c>
      <c r="C7" s="7" t="n">
        <v>18.7118</v>
      </c>
      <c r="D7" s="7" t="n">
        <v>18.2392</v>
      </c>
      <c r="E7" s="7" t="n">
        <v>12.1728</v>
      </c>
      <c r="F7" s="7" t="inlineStr">
        <is>
          <t>5PB 5/6 D65</t>
        </is>
      </c>
      <c r="G7" s="8">
        <f>IF($C7="","",INDEX(Matrices!$G$2:$G$15,T7)*C7+INDEX(Matrices!$H$2:$H$15,T7)*D7+INDEX(Matrices!$I$2:$I$15,T7)*E7)</f>
        <v/>
      </c>
      <c r="H7" s="8">
        <f>IF($C7="","",INDEX(Matrices!$J$2:$J$15,T7)*C7+INDEX(Matrices!$K$2:$K$15,T7)*D7+INDEX(Matrices!$L$2:$L$15,T7)*E7)</f>
        <v/>
      </c>
      <c r="I7" s="8">
        <f>IF($C7="","",INDEX(Matrices!$M$2:$M$15,T7)*C7+INDEX(Matrices!$N$2:$N$15,T7)*D7+INDEX(Matrices!$O$2:$O$15,T7)*E7)</f>
        <v/>
      </c>
      <c r="J7" s="8">
        <f>IF($C7="","",W7)</f>
        <v/>
      </c>
      <c r="K7" s="8">
        <f>IF($C7="","",AC7*COS(RADIANS(V7)))</f>
        <v/>
      </c>
      <c r="L7" s="8">
        <f>IF($C7="","",AC7*SIN(RADIANS(V7)))</f>
        <v/>
      </c>
      <c r="M7" s="8">
        <f>IF($C7="","",116*AE7-16)</f>
        <v/>
      </c>
      <c r="N7" s="8">
        <f>IF($C7="","",500*(AD7-AE7))</f>
        <v/>
      </c>
      <c r="O7" s="8">
        <f>IF($C7="","",200*(AE7-AF7))</f>
        <v/>
      </c>
      <c r="P7" s="8">
        <f>IF(OR($C7="",F7=""),"",SQRT((J7-INDEX($J$6:$J$45,AG7))^2+(K7-INDEX($K$6:$K$45,AG7))^2+(L7-INDEX($L$6:$L$45,AG7))^2))</f>
        <v/>
      </c>
      <c r="Q7" s="8">
        <f>IF(OR($C7="",F7=""),"",SQRT((M7-INDEX($M$6:$M$45,AG7))^2+(N7-INDEX($N$6:$N$45,AG7))^2+(O7-INDEX($O$6:$O$45,AG7))^2))</f>
        <v/>
      </c>
      <c r="R7" s="8">
        <f>IF(OR($C7="",F7=""),"",SQRT(((AH7-M7)/BA7)^2+((AP7-AO7)/BB7)^2+(AT7/BC7)^2+BD7*((AP7-AO7)/BB7)*(AT7/BC7)))</f>
        <v/>
      </c>
      <c r="T7">
        <f>IF($C7="","",MATCH(B7,Matrices!$A$2:$A$15,0))</f>
        <v/>
      </c>
      <c r="U7">
        <f>IF($C7="","",SQRT(H7^2+I7^2))</f>
        <v/>
      </c>
      <c r="V7">
        <f>IF($C7="","",IF(U7=0,0,MOD(DEGREES(ATAN2(H7,I7)),360)))</f>
        <v/>
      </c>
      <c r="W7">
        <f>IF($C7="","",IF(G7/100&gt;(6/29)^3,(G7/100)^(1/3),(1/3)*(29/6)^2*G7/100+16/116)*116-16)</f>
        <v/>
      </c>
      <c r="X7">
        <f>IF($C7="","",EXP(0.026742553710937*(W7-51.576165618406904))/0.45888671875)</f>
        <v/>
      </c>
      <c r="Y7">
        <f>IF($C7="","",U7/X7)</f>
        <v/>
      </c>
      <c r="Z7">
        <f>IF($C7="","",IF(AND(V7&gt;1,V7&lt;181),SIN(RADIANS(V7-1))^3,0)+IF(AND(V7&gt;104,V7&lt;284),0.39*COS(RADIANS(V7-14))^2,0))</f>
        <v/>
      </c>
      <c r="AA7">
        <f>IF($C7="","",62*(Z7+0.31))</f>
        <v/>
      </c>
      <c r="AB7">
        <f>IF($C7="","",0.36*(Z7+0.19))</f>
        <v/>
      </c>
      <c r="AC7">
        <f>IF($C7="","",AA7*(LN(Y7/80+AB7)-LN(AB7)))</f>
        <v/>
      </c>
      <c r="AD7">
        <f>IF($C7="","",IF(C7/INDEX(Matrices!$D$2:$D$15,T7)&gt;0.008856,(C7/INDEX(Matrices!$D$2:$D$15,T7))^(1/3),7.787*C7/INDEX(Matrices!$D$2:$D$15,T7)+16/116))</f>
        <v/>
      </c>
      <c r="AE7">
        <f>IF($C7="","",IF(D7/INDEX(Matrices!$E$2:$E$15,T7)&gt;0.008856,(D7/INDEX(Matrices!$E$2:$E$15,T7))^(1/3),7.787*D7/INDEX(Matrices!$E$2:$E$15,T7)+16/116))</f>
        <v/>
      </c>
      <c r="AF7">
        <f>IF($C7="","",IF(E7/INDEX(Matrices!$F$2:$F$15,T7)&gt;0.008856,(E7/INDEX(Matrices!$F$2:$F$15,T7))^(1/3),7.787*E7/INDEX(Matrices!$F$2:$F$15,T7)+16/116))</f>
        <v/>
      </c>
      <c r="AG7">
        <f>IF(OR($C7="",F7=""),"",MATCH(F7,$A$6:$A$45,0))</f>
        <v/>
      </c>
      <c r="AH7">
        <f>IF(OR($C7="",F7=""),"",INDEX($M$6:$M$45,AG7))</f>
        <v/>
      </c>
      <c r="AI7">
        <f>IF(OR($C7="",F7=""),"",INDEX($N$6:$N$45,AG7))</f>
        <v/>
      </c>
      <c r="AJ7">
        <f>IF(OR($C7="",F7=""),"",INDEX($O$6:$O$45,AG7))</f>
        <v/>
      </c>
      <c r="AK7">
        <f>IF(OR($C7="",F7=""),"",(SQRT(N7^2+O7^2)+SQRT(AI7^2+AJ7^2))/2)</f>
        <v/>
      </c>
      <c r="AL7">
        <f>IF(OR($C7="",F7=""),"",0.5*(1-SQRT(AK7^7/(AK7^7+25^7))))</f>
        <v/>
      </c>
      <c r="AM7">
        <f>IF(OR($C7="",F7=""),"",(1+AL7)*N7)</f>
        <v/>
      </c>
      <c r="AN7">
        <f>IF(OR($C7="",F7=""),"",(1+AL7)*AI7)</f>
        <v/>
      </c>
      <c r="AO7">
        <f>IF(OR($C7="",F7=""),"",SQRT(AM7^2+O7^2))</f>
        <v/>
      </c>
      <c r="AP7">
        <f>IF(OR($C7="",F7=""),"",SQRT(AN7^2+AJ7^2))</f>
        <v/>
      </c>
      <c r="AQ7">
        <f>IF(OR($C7="",F7=""),"",IF(AO7=0,0,MOD(DEGREES(ATAN2(AM7,O7)),360)))</f>
        <v/>
      </c>
      <c r="AR7">
        <f>IF(OR($C7="",F7=""),"",IF(AP7=0,0,MOD(DEGREES(ATAN2(AN7,AJ7)),360)))</f>
        <v/>
      </c>
      <c r="AS7">
        <f>IF(OR($C7="",F7=""),"",IF(AO7*AP7=0,0,IF((AR7-AQ7)&gt;180,(AR7-AQ7)-360,IF((AR7-AQ7)&lt;-180,(AR7-AQ7)+360,(AR7-AQ7)))))</f>
        <v/>
      </c>
      <c r="AT7">
        <f>IF(OR($C7="",F7=""),"",2*SQRT(AO7*AP7)*SIN(RADIANS(AS7/2)))</f>
        <v/>
      </c>
      <c r="AU7">
        <f>IF(OR($C7="",F7=""),"",(M7+AH7)/2)</f>
        <v/>
      </c>
      <c r="AV7">
        <f>IF(OR($C7="",F7=""),"",(AO7+AP7)/2)</f>
        <v/>
      </c>
      <c r="AW7">
        <f>IF(OR($C7="",F7=""),"",AQ7+AR7)</f>
        <v/>
      </c>
      <c r="AX7">
        <f>IF(OR($C7="",F7=""),"",IF(AO7*AP7=0,AW7,IF(ABS(AQ7-AR7)&gt;180,IF(AW7&lt;360,(AW7+360)/2,(AW7-360)/2),AW7/2)))</f>
        <v/>
      </c>
      <c r="AY7">
        <f>IF(OR($C7="",F7=""),"",1-0.17*COS(RADIANS(AX7-30))+0.24*COS(RADIANS(2*AX7))+0.32*COS(RADIANS(3*AX7+6))-0.2*COS(RADIANS(4*AX7-63)))</f>
        <v/>
      </c>
      <c r="AZ7">
        <f>IF(OR($C7="",F7=""),"",2*SQRT(AV7^7/(AV7^7+25^7)))</f>
        <v/>
      </c>
      <c r="BA7">
        <f>IF(OR($C7="",F7=""),"",1+0.015*(AU7-50)^2/SQRT(20+(AU7-50)^2))</f>
        <v/>
      </c>
      <c r="BB7">
        <f>IF(OR($C7="",F7=""),"",1+0.045*AV7)</f>
        <v/>
      </c>
      <c r="BC7">
        <f>IF(OR($C7="",F7=""),"",1+0.015*AV7*AY7)</f>
        <v/>
      </c>
      <c r="BD7">
        <f>IF(OR($C7="",F7=""),"",-SIN(RADIANS(2*30*EXP(-(((AX7-275)/25)^2))))*AZ7)</f>
        <v/>
      </c>
    </row>
    <row r="8">
      <c r="A8" s="7" t="inlineStr">
        <is>
          <t>50% gray D65</t>
        </is>
      </c>
      <c r="B8" s="7" t="inlineStr">
        <is>
          <t>CIE 1931 2deg D65</t>
        </is>
      </c>
      <c r="C8" s="7" t="n">
        <v>47.5215</v>
      </c>
      <c r="D8" s="7" t="n">
        <v>50</v>
      </c>
      <c r="E8" s="7" t="n">
        <v>54.44</v>
      </c>
      <c r="F8" s="7" t="n"/>
      <c r="G8" s="8">
        <f>IF($C8="","",INDEX(Matrices!$G$2:$G$15,T8)*C8+INDEX(Matrices!$H$2:$H$15,T8)*D8+INDEX(Matrices!$I$2:$I$15,T8)*E8)</f>
        <v/>
      </c>
      <c r="H8" s="8">
        <f>IF($C8="","",INDEX(Matrices!$J$2:$J$15,T8)*C8+INDEX(Matrices!$K$2:$K$15,T8)*D8+INDEX(Matrices!$L$2:$L$15,T8)*E8)</f>
        <v/>
      </c>
      <c r="I8" s="8">
        <f>IF($C8="","",INDEX(Matrices!$M$2:$M$15,T8)*C8+INDEX(Matrices!$N$2:$N$15,T8)*D8+INDEX(Matrices!$O$2:$O$15,T8)*E8)</f>
        <v/>
      </c>
      <c r="J8" s="8">
        <f>IF($C8="","",W8)</f>
        <v/>
      </c>
      <c r="K8" s="8">
        <f>IF($C8="","",AC8*COS(RADIANS(V8)))</f>
        <v/>
      </c>
      <c r="L8" s="8">
        <f>IF($C8="","",AC8*SIN(RADIANS(V8)))</f>
        <v/>
      </c>
      <c r="M8" s="8">
        <f>IF($C8="","",116*AE8-16)</f>
        <v/>
      </c>
      <c r="N8" s="8">
        <f>IF($C8="","",500*(AD8-AE8))</f>
        <v/>
      </c>
      <c r="O8" s="8">
        <f>IF($C8="","",200*(AE8-AF8))</f>
        <v/>
      </c>
      <c r="P8" s="8">
        <f>IF(OR($C8="",F8=""),"",SQRT((J8-INDEX($J$6:$J$45,AG8))^2+(K8-INDEX($K$6:$K$45,AG8))^2+(L8-INDEX($L$6:$L$45,AG8))^2))</f>
        <v/>
      </c>
      <c r="Q8" s="8">
        <f>IF(OR($C8="",F8=""),"",SQRT((M8-INDEX($M$6:$M$45,AG8))^2+(N8-INDEX($N$6:$N$45,AG8))^2+(O8-INDEX($O$6:$O$45,AG8))^2))</f>
        <v/>
      </c>
      <c r="R8" s="8">
        <f>IF(OR($C8="",F8=""),"",SQRT(((AH8-M8)/BA8)^2+((AP8-AO8)/BB8)^2+(AT8/BC8)^2+BD8*((AP8-AO8)/BB8)*(AT8/BC8)))</f>
        <v/>
      </c>
      <c r="T8">
        <f>IF($C8="","",MATCH(B8,Matrices!$A$2:$A$15,0))</f>
        <v/>
      </c>
      <c r="U8">
        <f>IF($C8="","",SQRT(H8^2+I8^2))</f>
        <v/>
      </c>
      <c r="V8">
        <f>IF($C8="","",IF(U8=0,0,MOD(DEGREES(ATAN2(H8,I8)),360)))</f>
        <v/>
      </c>
      <c r="W8">
        <f>IF($C8="","",IF(G8/100&gt;(6/29)^3,(G8/100)^(1/3),(1/3)*(29/6)^2*G8/100+16/116)*116-16)</f>
        <v/>
      </c>
      <c r="X8">
        <f>IF($C8="","",EXP(0.026742553710937*(W8-51.576165618406904))/0.45888671875)</f>
        <v/>
      </c>
      <c r="Y8">
        <f>IF($C8="","",U8/X8)</f>
        <v/>
      </c>
      <c r="Z8">
        <f>IF($C8="","",IF(AND(V8&gt;1,V8&lt;181),SIN(RADIANS(V8-1))^3,0)+IF(AND(V8&gt;104,V8&lt;284),0.39*COS(RADIANS(V8-14))^2,0))</f>
        <v/>
      </c>
      <c r="AA8">
        <f>IF($C8="","",62*(Z8+0.31))</f>
        <v/>
      </c>
      <c r="AB8">
        <f>IF($C8="","",0.36*(Z8+0.19))</f>
        <v/>
      </c>
      <c r="AC8">
        <f>IF($C8="","",AA8*(LN(Y8/80+AB8)-LN(AB8)))</f>
        <v/>
      </c>
      <c r="AD8">
        <f>IF($C8="","",IF(C8/INDEX(Matrices!$D$2:$D$15,T8)&gt;0.008856,(C8/INDEX(Matrices!$D$2:$D$15,T8))^(1/3),7.787*C8/INDEX(Matrices!$D$2:$D$15,T8)+16/116))</f>
        <v/>
      </c>
      <c r="AE8">
        <f>IF($C8="","",IF(D8/INDEX(Matrices!$E$2:$E$15,T8)&gt;0.008856,(D8/INDEX(Matrices!$E$2:$E$15,T8))^(1/3),7.787*D8/INDEX(Matrices!$E$2:$E$15,T8)+16/116))</f>
        <v/>
      </c>
      <c r="AF8">
        <f>IF($C8="","",IF(E8/INDEX(Matrices!$F$2:$F$15,T8)&gt;0.008856,(E8/INDEX(Matrices!$F$2:$F$15,T8))^(1/3),7.787*E8/INDEX(Matrices!$F$2:$F$15,T8)+16/116))</f>
        <v/>
      </c>
      <c r="AG8">
        <f>IF(OR($C8="",F8=""),"",MATCH(F8,$A$6:$A$45,0))</f>
        <v/>
      </c>
      <c r="AH8">
        <f>IF(OR($C8="",F8=""),"",INDEX($M$6:$M$45,AG8))</f>
        <v/>
      </c>
      <c r="AI8">
        <f>IF(OR($C8="",F8=""),"",INDEX($N$6:$N$45,AG8))</f>
        <v/>
      </c>
      <c r="AJ8">
        <f>IF(OR($C8="",F8=""),"",INDEX($O$6:$O$45,AG8))</f>
        <v/>
      </c>
      <c r="AK8">
        <f>IF(OR($C8="",F8=""),"",(SQRT(N8^2+O8^2)+SQRT(AI8^2+AJ8^2))/2)</f>
        <v/>
      </c>
      <c r="AL8">
        <f>IF(OR($C8="",F8=""),"",0.5*(1-SQRT(AK8^7/(AK8^7+25^7))))</f>
        <v/>
      </c>
      <c r="AM8">
        <f>IF(OR($C8="",F8=""),"",(1+AL8)*N8)</f>
        <v/>
      </c>
      <c r="AN8">
        <f>IF(OR($C8="",F8=""),"",(1+AL8)*AI8)</f>
        <v/>
      </c>
      <c r="AO8">
        <f>IF(OR($C8="",F8=""),"",SQRT(AM8^2+O8^2))</f>
        <v/>
      </c>
      <c r="AP8">
        <f>IF(OR($C8="",F8=""),"",SQRT(AN8^2+AJ8^2))</f>
        <v/>
      </c>
      <c r="AQ8">
        <f>IF(OR($C8="",F8=""),"",IF(AO8=0,0,MOD(DEGREES(ATAN2(AM8,O8)),360)))</f>
        <v/>
      </c>
      <c r="AR8">
        <f>IF(OR($C8="",F8=""),"",IF(AP8=0,0,MOD(DEGREES(ATAN2(AN8,AJ8)),360)))</f>
        <v/>
      </c>
      <c r="AS8">
        <f>IF(OR($C8="",F8=""),"",IF(AO8*AP8=0,0,IF((AR8-AQ8)&gt;180,(AR8-AQ8)-360,IF((AR8-AQ8)&lt;-180,(AR8-AQ8)+360,(AR8-AQ8)))))</f>
        <v/>
      </c>
      <c r="AT8">
        <f>IF(OR($C8="",F8=""),"",2*SQRT(AO8*AP8)*SIN(RADIANS(AS8/2)))</f>
        <v/>
      </c>
      <c r="AU8">
        <f>IF(OR($C8="",F8=""),"",(M8+AH8)/2)</f>
        <v/>
      </c>
      <c r="AV8">
        <f>IF(OR($C8="",F8=""),"",(AO8+AP8)/2)</f>
        <v/>
      </c>
      <c r="AW8">
        <f>IF(OR($C8="",F8=""),"",AQ8+AR8)</f>
        <v/>
      </c>
      <c r="AX8">
        <f>IF(OR($C8="",F8=""),"",IF(AO8*AP8=0,AW8,IF(ABS(AQ8-AR8)&gt;180,IF(AW8&lt;360,(AW8+360)/2,(AW8-360)/2),AW8/2)))</f>
        <v/>
      </c>
      <c r="AY8">
        <f>IF(OR($C8="",F8=""),"",1-0.17*COS(RADIANS(AX8-30))+0.24*COS(RADIANS(2*AX8))+0.32*COS(RADIANS(3*AX8+6))-0.2*COS(RADIANS(4*AX8-63)))</f>
        <v/>
      </c>
      <c r="AZ8">
        <f>IF(OR($C8="",F8=""),"",2*SQRT(AV8^7/(AV8^7+25^7)))</f>
        <v/>
      </c>
      <c r="BA8">
        <f>IF(OR($C8="",F8=""),"",1+0.015*(AU8-50)^2/SQRT(20+(AU8-50)^2))</f>
        <v/>
      </c>
      <c r="BB8">
        <f>IF(OR($C8="",F8=""),"",1+0.045*AV8)</f>
        <v/>
      </c>
      <c r="BC8">
        <f>IF(OR($C8="",F8=""),"",1+0.015*AV8*AY8)</f>
        <v/>
      </c>
      <c r="BD8">
        <f>IF(OR($C8="",F8=""),"",-SIN(RADIANS(2*30*EXP(-(((AX8-275)/25)^2))))*AZ8)</f>
        <v/>
      </c>
    </row>
    <row r="9">
      <c r="A9" s="7" t="inlineStr">
        <is>
          <t>50% gray A</t>
        </is>
      </c>
      <c r="B9" s="7" t="inlineStr">
        <is>
          <t>CIE 1931 2deg A</t>
        </is>
      </c>
      <c r="C9" s="7" t="n">
        <v>54.9245</v>
      </c>
      <c r="D9" s="7" t="n">
        <v>50</v>
      </c>
      <c r="E9" s="7" t="n">
        <v>17.7912</v>
      </c>
      <c r="F9" s="7" t="n"/>
      <c r="G9" s="8">
        <f>IF($C9="","",INDEX(Matrices!$G$2:$G$15,T9)*C9+INDEX(Matrices!$H$2:$H$15,T9)*D9+INDEX(Matrices!$I$2:$I$15,T9)*E9)</f>
        <v/>
      </c>
      <c r="H9" s="8">
        <f>IF($C9="","",INDEX(Matrices!$J$2:$J$15,T9)*C9+INDEX(Matrices!$K$2:$K$15,T9)*D9+INDEX(Matrices!$L$2:$L$15,T9)*E9)</f>
        <v/>
      </c>
      <c r="I9" s="8">
        <f>IF($C9="","",INDEX(Matrices!$M$2:$M$15,T9)*C9+INDEX(Matrices!$N$2:$N$15,T9)*D9+INDEX(Matrices!$O$2:$O$15,T9)*E9)</f>
        <v/>
      </c>
      <c r="J9" s="8">
        <f>IF($C9="","",W9)</f>
        <v/>
      </c>
      <c r="K9" s="8">
        <f>IF($C9="","",AC9*COS(RADIANS(V9)))</f>
        <v/>
      </c>
      <c r="L9" s="8">
        <f>IF($C9="","",AC9*SIN(RADIANS(V9)))</f>
        <v/>
      </c>
      <c r="M9" s="8">
        <f>IF($C9="","",116*AE9-16)</f>
        <v/>
      </c>
      <c r="N9" s="8">
        <f>IF($C9="","",500*(AD9-AE9))</f>
        <v/>
      </c>
      <c r="O9" s="8">
        <f>IF($C9="","",200*(AE9-AF9))</f>
        <v/>
      </c>
      <c r="P9" s="8">
        <f>IF(OR($C9="",F9=""),"",SQRT((J9-INDEX($J$6:$J$45,AG9))^2+(K9-INDEX($K$6:$K$45,AG9))^2+(L9-INDEX($L$6:$L$45,AG9))^2))</f>
        <v/>
      </c>
      <c r="Q9" s="8">
        <f>IF(OR($C9="",F9=""),"",SQRT((M9-INDEX($M$6:$M$45,AG9))^2+(N9-INDEX($N$6:$N$45,AG9))^2+(O9-INDEX($O$6:$O$45,AG9))^2))</f>
        <v/>
      </c>
      <c r="R9" s="8">
        <f>IF(OR($C9="",F9=""),"",SQRT(((AH9-M9)/BA9)^2+((AP9-AO9)/BB9)^2+(AT9/BC9)^2+BD9*((AP9-AO9)/BB9)*(AT9/BC9)))</f>
        <v/>
      </c>
      <c r="T9">
        <f>IF($C9="","",MATCH(B9,Matrices!$A$2:$A$15,0))</f>
        <v/>
      </c>
      <c r="U9">
        <f>IF($C9="","",SQRT(H9^2+I9^2))</f>
        <v/>
      </c>
      <c r="V9">
        <f>IF($C9="","",IF(U9=0,0,MOD(DEGREES(ATAN2(H9,I9)),360)))</f>
        <v/>
      </c>
      <c r="W9">
        <f>IF($C9="","",IF(G9/100&gt;(6/29)^3,(G9/100)^(1/3),(1/3)*(29/6)^2*G9/100+16/116)*116-16)</f>
        <v/>
      </c>
      <c r="X9">
        <f>IF($C9="","",EXP(0.026742553710937*(W9-51.576165618406904))/0.45888671875)</f>
        <v/>
      </c>
      <c r="Y9">
        <f>IF($C9="","",U9/X9)</f>
        <v/>
      </c>
      <c r="Z9">
        <f>IF($C9="","",IF(AND(V9&gt;1,V9&lt;181),SIN(RADIANS(V9-1))^3,0)+IF(AND(V9&gt;104,V9&lt;284),0.39*COS(RADIANS(V9-14))^2,0))</f>
        <v/>
      </c>
      <c r="AA9">
        <f>IF($C9="","",62*(Z9+0.31))</f>
        <v/>
      </c>
      <c r="AB9">
        <f>IF($C9="","",0.36*(Z9+0.19))</f>
        <v/>
      </c>
      <c r="AC9">
        <f>IF($C9="","",AA9*(LN(Y9/80+AB9)-LN(AB9)))</f>
        <v/>
      </c>
      <c r="AD9">
        <f>IF($C9="","",IF(C9/INDEX(Matrices!$D$2:$D$15,T9)&gt;0.008856,(C9/INDEX(Matrices!$D$2:$D$15,T9))^(1/3),7.787*C9/INDEX(Matrices!$D$2:$D$15,T9)+16/116))</f>
        <v/>
      </c>
      <c r="AE9">
        <f>IF($C9="","",IF(D9/INDEX(Matrices!$E$2:$E$15,T9)&gt;0.008856,(D9/INDEX(Matrices!$E$2:$E$15,T9))^(1/3),7.787*D9/INDEX(Matrices!$E$2:$E$15,T9)+16/116))</f>
        <v/>
      </c>
      <c r="AF9">
        <f>IF($C9="","",IF(E9/INDEX(Matrices!$F$2:$F$15,T9)&gt;0.008856,(E9/INDEX(Matrices!$F$2:$F$15,T9))^(1/3),7.787*E9/INDEX(Matrices!$F$2:$F$15,T9)+16/116))</f>
        <v/>
      </c>
      <c r="AG9">
        <f>IF(OR($C9="",F9=""),"",MATCH(F9,$A$6:$A$45,0))</f>
        <v/>
      </c>
      <c r="AH9">
        <f>IF(OR($C9="",F9=""),"",INDEX($M$6:$M$45,AG9))</f>
        <v/>
      </c>
      <c r="AI9">
        <f>IF(OR($C9="",F9=""),"",INDEX($N$6:$N$45,AG9))</f>
        <v/>
      </c>
      <c r="AJ9">
        <f>IF(OR($C9="",F9=""),"",INDEX($O$6:$O$45,AG9))</f>
        <v/>
      </c>
      <c r="AK9">
        <f>IF(OR($C9="",F9=""),"",(SQRT(N9^2+O9^2)+SQRT(AI9^2+AJ9^2))/2)</f>
        <v/>
      </c>
      <c r="AL9">
        <f>IF(OR($C9="",F9=""),"",0.5*(1-SQRT(AK9^7/(AK9^7+25^7))))</f>
        <v/>
      </c>
      <c r="AM9">
        <f>IF(OR($C9="",F9=""),"",(1+AL9)*N9)</f>
        <v/>
      </c>
      <c r="AN9">
        <f>IF(OR($C9="",F9=""),"",(1+AL9)*AI9)</f>
        <v/>
      </c>
      <c r="AO9">
        <f>IF(OR($C9="",F9=""),"",SQRT(AM9^2+O9^2))</f>
        <v/>
      </c>
      <c r="AP9">
        <f>IF(OR($C9="",F9=""),"",SQRT(AN9^2+AJ9^2))</f>
        <v/>
      </c>
      <c r="AQ9">
        <f>IF(OR($C9="",F9=""),"",IF(AO9=0,0,MOD(DEGREES(ATAN2(AM9,O9)),360)))</f>
        <v/>
      </c>
      <c r="AR9">
        <f>IF(OR($C9="",F9=""),"",IF(AP9=0,0,MOD(DEGREES(ATAN2(AN9,AJ9)),360)))</f>
        <v/>
      </c>
      <c r="AS9">
        <f>IF(OR($C9="",F9=""),"",IF(AO9*AP9=0,0,IF((AR9-AQ9)&gt;180,(AR9-AQ9)-360,IF((AR9-AQ9)&lt;-180,(AR9-AQ9)+360,(AR9-AQ9)))))</f>
        <v/>
      </c>
      <c r="AT9">
        <f>IF(OR($C9="",F9=""),"",2*SQRT(AO9*AP9)*SIN(RADIANS(AS9/2)))</f>
        <v/>
      </c>
      <c r="AU9">
        <f>IF(OR($C9="",F9=""),"",(M9+AH9)/2)</f>
        <v/>
      </c>
      <c r="AV9">
        <f>IF(OR($C9="",F9=""),"",(AO9+AP9)/2)</f>
        <v/>
      </c>
      <c r="AW9">
        <f>IF(OR($C9="",F9=""),"",AQ9+AR9)</f>
        <v/>
      </c>
      <c r="AX9">
        <f>IF(OR($C9="",F9=""),"",IF(AO9*AP9=0,AW9,IF(ABS(AQ9-AR9)&gt;180,IF(AW9&lt;360,(AW9+360)/2,(AW9-360)/2),AW9/2)))</f>
        <v/>
      </c>
      <c r="AY9">
        <f>IF(OR($C9="",F9=""),"",1-0.17*COS(RADIANS(AX9-30))+0.24*COS(RADIANS(2*AX9))+0.32*COS(RADIANS(3*AX9+6))-0.2*COS(RADIANS(4*AX9-63)))</f>
        <v/>
      </c>
      <c r="AZ9">
        <f>IF(OR($C9="",F9=""),"",2*SQRT(AV9^7/(AV9^7+25^7)))</f>
        <v/>
      </c>
      <c r="BA9">
        <f>IF(OR($C9="",F9=""),"",1+0.015*(AU9-50)^2/SQRT(20+(AU9-50)^2))</f>
        <v/>
      </c>
      <c r="BB9">
        <f>IF(OR($C9="",F9=""),"",1+0.045*AV9)</f>
        <v/>
      </c>
      <c r="BC9">
        <f>IF(OR($C9="",F9=""),"",1+0.015*AV9*AY9)</f>
        <v/>
      </c>
      <c r="BD9">
        <f>IF(OR($C9="",F9=""),"",-SIN(RADIANS(2*30*EXP(-(((AX9-275)/25)^2))))*AZ9)</f>
        <v/>
      </c>
    </row>
    <row r="10">
      <c r="A10" s="7" t="n"/>
      <c r="B10" s="7" t="n"/>
      <c r="C10" s="7" t="n"/>
      <c r="D10" s="7" t="n"/>
      <c r="E10" s="7" t="n"/>
      <c r="F10" s="7" t="n"/>
      <c r="G10" s="8">
        <f>IF($C10="","",INDEX(Matrices!$G$2:$G$15,T10)*C10+INDEX(Matrices!$H$2:$H$15,T10)*D10+INDEX(Matrices!$I$2:$I$15,T10)*E10)</f>
        <v/>
      </c>
      <c r="H10" s="8">
        <f>IF($C10="","",INDEX(Matrices!$J$2:$J$15,T10)*C10+INDEX(Matrices!$K$2:$K$15,T10)*D10+INDEX(Matrices!$L$2:$L$15,T10)*E10)</f>
        <v/>
      </c>
      <c r="I10" s="8">
        <f>IF($C10="","",INDEX(Matrices!$M$2:$M$15,T10)*C10+INDEX(Matrices!$N$2:$N$15,T10)*D10+INDEX(Matrices!$O$2:$O$15,T10)*E10)</f>
        <v/>
      </c>
      <c r="J10" s="8">
        <f>IF($C10="","",W10)</f>
        <v/>
      </c>
      <c r="K10" s="8">
        <f>IF($C10="","",AC10*COS(RADIANS(V10)))</f>
        <v/>
      </c>
      <c r="L10" s="8">
        <f>IF($C10="","",AC10*SIN(RADIANS(V10)))</f>
        <v/>
      </c>
      <c r="M10" s="8">
        <f>IF($C10="","",116*AE10-16)</f>
        <v/>
      </c>
      <c r="N10" s="8">
        <f>IF($C10="","",500*(AD10-AE10))</f>
        <v/>
      </c>
      <c r="O10" s="8">
        <f>IF($C10="","",200*(AE10-AF10))</f>
        <v/>
      </c>
      <c r="P10" s="8">
        <f>IF(OR($C10="",F10=""),"",SQRT((J10-INDEX($J$6:$J$45,AG10))^2+(K10-INDEX($K$6:$K$45,AG10))^2+(L10-INDEX($L$6:$L$45,AG10))^2))</f>
        <v/>
      </c>
      <c r="Q10" s="8">
        <f>IF(OR($C10="",F10=""),"",SQRT((M10-INDEX($M$6:$M$45,AG10))^2+(N10-INDEX($N$6:$N$45,AG10))^2+(O10-INDEX($O$6:$O$45,AG10))^2))</f>
        <v/>
      </c>
      <c r="R10" s="8">
        <f>IF(OR($C10="",F10=""),"",SQRT(((AH10-M10)/BA10)^2+((AP10-AO10)/BB10)^2+(AT10/BC10)^2+BD10*((AP10-AO10)/BB10)*(AT10/BC10)))</f>
        <v/>
      </c>
      <c r="T10">
        <f>IF($C10="","",MATCH(B10,Matrices!$A$2:$A$15,0))</f>
        <v/>
      </c>
      <c r="U10">
        <f>IF($C10="","",SQRT(H10^2+I10^2))</f>
        <v/>
      </c>
      <c r="V10">
        <f>IF($C10="","",IF(U10=0,0,MOD(DEGREES(ATAN2(H10,I10)),360)))</f>
        <v/>
      </c>
      <c r="W10">
        <f>IF($C10="","",IF(G10/100&gt;(6/29)^3,(G10/100)^(1/3),(1/3)*(29/6)^2*G10/100+16/116)*116-16)</f>
        <v/>
      </c>
      <c r="X10">
        <f>IF($C10="","",EXP(0.026742553710937*(W10-51.576165618406904))/0.45888671875)</f>
        <v/>
      </c>
      <c r="Y10">
        <f>IF($C10="","",U10/X10)</f>
        <v/>
      </c>
      <c r="Z10">
        <f>IF($C10="","",IF(AND(V10&gt;1,V10&lt;181),SIN(RADIANS(V10-1))^3,0)+IF(AND(V10&gt;104,V10&lt;284),0.39*COS(RADIANS(V10-14))^2,0))</f>
        <v/>
      </c>
      <c r="AA10">
        <f>IF($C10="","",62*(Z10+0.31))</f>
        <v/>
      </c>
      <c r="AB10">
        <f>IF($C10="","",0.36*(Z10+0.19))</f>
        <v/>
      </c>
      <c r="AC10">
        <f>IF($C10="","",AA10*(LN(Y10/80+AB10)-LN(AB10)))</f>
        <v/>
      </c>
      <c r="AD10">
        <f>IF($C10="","",IF(C10/INDEX(Matrices!$D$2:$D$15,T10)&gt;0.008856,(C10/INDEX(Matrices!$D$2:$D$15,T10))^(1/3),7.787*C10/INDEX(Matrices!$D$2:$D$15,T10)+16/116))</f>
        <v/>
      </c>
      <c r="AE10">
        <f>IF($C10="","",IF(D10/INDEX(Matrices!$E$2:$E$15,T10)&gt;0.008856,(D10/INDEX(Matrices!$E$2:$E$15,T10))^(1/3),7.787*D10/INDEX(Matrices!$E$2:$E$15,T10)+16/116))</f>
        <v/>
      </c>
      <c r="AF10">
        <f>IF($C10="","",IF(E10/INDEX(Matrices!$F$2:$F$15,T10)&gt;0.008856,(E10/INDEX(Matrices!$F$2:$F$15,T10))^(1/3),7.787*E10/INDEX(Matrices!$F$2:$F$15,T10)+16/116))</f>
        <v/>
      </c>
      <c r="AG10">
        <f>IF(OR($C10="",F10=""),"",MATCH(F10,$A$6:$A$45,0))</f>
        <v/>
      </c>
      <c r="AH10">
        <f>IF(OR($C10="",F10=""),"",INDEX($M$6:$M$45,AG10))</f>
        <v/>
      </c>
      <c r="AI10">
        <f>IF(OR($C10="",F10=""),"",INDEX($N$6:$N$45,AG10))</f>
        <v/>
      </c>
      <c r="AJ10">
        <f>IF(OR($C10="",F10=""),"",INDEX($O$6:$O$45,AG10))</f>
        <v/>
      </c>
      <c r="AK10">
        <f>IF(OR($C10="",F10=""),"",(SQRT(N10^2+O10^2)+SQRT(AI10^2+AJ10^2))/2)</f>
        <v/>
      </c>
      <c r="AL10">
        <f>IF(OR($C10="",F10=""),"",0.5*(1-SQRT(AK10^7/(AK10^7+25^7))))</f>
        <v/>
      </c>
      <c r="AM10">
        <f>IF(OR($C10="",F10=""),"",(1+AL10)*N10)</f>
        <v/>
      </c>
      <c r="AN10">
        <f>IF(OR($C10="",F10=""),"",(1+AL10)*AI10)</f>
        <v/>
      </c>
      <c r="AO10">
        <f>IF(OR($C10="",F10=""),"",SQRT(AM10^2+O10^2))</f>
        <v/>
      </c>
      <c r="AP10">
        <f>IF(OR($C10="",F10=""),"",SQRT(AN10^2+AJ10^2))</f>
        <v/>
      </c>
      <c r="AQ10">
        <f>IF(OR($C10="",F10=""),"",IF(AO10=0,0,MOD(DEGREES(ATAN2(AM10,O10)),360)))</f>
        <v/>
      </c>
      <c r="AR10">
        <f>IF(OR($C10="",F10=""),"",IF(AP10=0,0,MOD(DEGREES(ATAN2(AN10,AJ10)),360)))</f>
        <v/>
      </c>
      <c r="AS10">
        <f>IF(OR($C10="",F10=""),"",IF(AO10*AP10=0,0,IF((AR10-AQ10)&gt;180,(AR10-AQ10)-360,IF((AR10-AQ10)&lt;-180,(AR10-AQ10)+360,(AR10-AQ10)))))</f>
        <v/>
      </c>
      <c r="AT10">
        <f>IF(OR($C10="",F10=""),"",2*SQRT(AO10*AP10)*SIN(RADIANS(AS10/2)))</f>
        <v/>
      </c>
      <c r="AU10">
        <f>IF(OR($C10="",F10=""),"",(M10+AH10)/2)</f>
        <v/>
      </c>
      <c r="AV10">
        <f>IF(OR($C10="",F10=""),"",(AO10+AP10)/2)</f>
        <v/>
      </c>
      <c r="AW10">
        <f>IF(OR($C10="",F10=""),"",AQ10+AR10)</f>
        <v/>
      </c>
      <c r="AX10">
        <f>IF(OR($C10="",F10=""),"",IF(AO10*AP10=0,AW10,IF(ABS(AQ10-AR10)&gt;180,IF(AW10&lt;360,(AW10+360)/2,(AW10-360)/2),AW10/2)))</f>
        <v/>
      </c>
      <c r="AY10">
        <f>IF(OR($C10="",F10=""),"",1-0.17*COS(RADIANS(AX10-30))+0.24*COS(RADIANS(2*AX10))+0.32*COS(RADIANS(3*AX10+6))-0.2*COS(RADIANS(4*AX10-63)))</f>
        <v/>
      </c>
      <c r="AZ10">
        <f>IF(OR($C10="",F10=""),"",2*SQRT(AV10^7/(AV10^7+25^7)))</f>
        <v/>
      </c>
      <c r="BA10">
        <f>IF(OR($C10="",F10=""),"",1+0.015*(AU10-50)^2/SQRT(20+(AU10-50)^2))</f>
        <v/>
      </c>
      <c r="BB10">
        <f>IF(OR($C10="",F10=""),"",1+0.045*AV10)</f>
        <v/>
      </c>
      <c r="BC10">
        <f>IF(OR($C10="",F10=""),"",1+0.015*AV10*AY10)</f>
        <v/>
      </c>
      <c r="BD10">
        <f>IF(OR($C10="",F10=""),"",-SIN(RADIANS(2*30*EXP(-(((AX10-275)/25)^2))))*AZ10)</f>
        <v/>
      </c>
    </row>
    <row r="11">
      <c r="A11" s="7" t="n"/>
      <c r="B11" s="7" t="n"/>
      <c r="C11" s="7" t="n"/>
      <c r="D11" s="7" t="n"/>
      <c r="E11" s="7" t="n"/>
      <c r="F11" s="7" t="n"/>
      <c r="G11" s="8">
        <f>IF($C11="","",INDEX(Matrices!$G$2:$G$15,T11)*C11+INDEX(Matrices!$H$2:$H$15,T11)*D11+INDEX(Matrices!$I$2:$I$15,T11)*E11)</f>
        <v/>
      </c>
      <c r="H11" s="8">
        <f>IF($C11="","",INDEX(Matrices!$J$2:$J$15,T11)*C11+INDEX(Matrices!$K$2:$K$15,T11)*D11+INDEX(Matrices!$L$2:$L$15,T11)*E11)</f>
        <v/>
      </c>
      <c r="I11" s="8">
        <f>IF($C11="","",INDEX(Matrices!$M$2:$M$15,T11)*C11+INDEX(Matrices!$N$2:$N$15,T11)*D11+INDEX(Matrices!$O$2:$O$15,T11)*E11)</f>
        <v/>
      </c>
      <c r="J11" s="8">
        <f>IF($C11="","",W11)</f>
        <v/>
      </c>
      <c r="K11" s="8">
        <f>IF($C11="","",AC11*COS(RADIANS(V11)))</f>
        <v/>
      </c>
      <c r="L11" s="8">
        <f>IF($C11="","",AC11*SIN(RADIANS(V11)))</f>
        <v/>
      </c>
      <c r="M11" s="8">
        <f>IF($C11="","",116*AE11-16)</f>
        <v/>
      </c>
      <c r="N11" s="8">
        <f>IF($C11="","",500*(AD11-AE11))</f>
        <v/>
      </c>
      <c r="O11" s="8">
        <f>IF($C11="","",200*(AE11-AF11))</f>
        <v/>
      </c>
      <c r="P11" s="8">
        <f>IF(OR($C11="",F11=""),"",SQRT((J11-INDEX($J$6:$J$45,AG11))^2+(K11-INDEX($K$6:$K$45,AG11))^2+(L11-INDEX($L$6:$L$45,AG11))^2))</f>
        <v/>
      </c>
      <c r="Q11" s="8">
        <f>IF(OR($C11="",F11=""),"",SQRT((M11-INDEX($M$6:$M$45,AG11))^2+(N11-INDEX($N$6:$N$45,AG11))^2+(O11-INDEX($O$6:$O$45,AG11))^2))</f>
        <v/>
      </c>
      <c r="R11" s="8">
        <f>IF(OR($C11="",F11=""),"",SQRT(((AH11-M11)/BA11)^2+((AP11-AO11)/BB11)^2+(AT11/BC11)^2+BD11*((AP11-AO11)/BB11)*(AT11/BC11)))</f>
        <v/>
      </c>
      <c r="T11">
        <f>IF($C11="","",MATCH(B11,Matrices!$A$2:$A$15,0))</f>
        <v/>
      </c>
      <c r="U11">
        <f>IF($C11="","",SQRT(H11^2+I11^2))</f>
        <v/>
      </c>
      <c r="V11">
        <f>IF($C11="","",IF(U11=0,0,MOD(DEGREES(ATAN2(H11,I11)),360)))</f>
        <v/>
      </c>
      <c r="W11">
        <f>IF($C11="","",IF(G11/100&gt;(6/29)^3,(G11/100)^(1/3),(1/3)*(29/6)^2*G11/100+16/116)*116-16)</f>
        <v/>
      </c>
      <c r="X11">
        <f>IF($C11="","",EXP(0.026742553710937*(W11-51.576165618406904))/0.45888671875)</f>
        <v/>
      </c>
      <c r="Y11">
        <f>IF($C11="","",U11/X11)</f>
        <v/>
      </c>
      <c r="Z11">
        <f>IF($C11="","",IF(AND(V11&gt;1,V11&lt;181),SIN(RADIANS(V11-1))^3,0)+IF(AND(V11&gt;104,V11&lt;284),0.39*COS(RADIANS(V11-14))^2,0))</f>
        <v/>
      </c>
      <c r="AA11">
        <f>IF($C11="","",62*(Z11+0.31))</f>
        <v/>
      </c>
      <c r="AB11">
        <f>IF($C11="","",0.36*(Z11+0.19))</f>
        <v/>
      </c>
      <c r="AC11">
        <f>IF($C11="","",AA11*(LN(Y11/80+AB11)-LN(AB11)))</f>
        <v/>
      </c>
      <c r="AD11">
        <f>IF($C11="","",IF(C11/INDEX(Matrices!$D$2:$D$15,T11)&gt;0.008856,(C11/INDEX(Matrices!$D$2:$D$15,T11))^(1/3),7.787*C11/INDEX(Matrices!$D$2:$D$15,T11)+16/116))</f>
        <v/>
      </c>
      <c r="AE11">
        <f>IF($C11="","",IF(D11/INDEX(Matrices!$E$2:$E$15,T11)&gt;0.008856,(D11/INDEX(Matrices!$E$2:$E$15,T11))^(1/3),7.787*D11/INDEX(Matrices!$E$2:$E$15,T11)+16/116))</f>
        <v/>
      </c>
      <c r="AF11">
        <f>IF($C11="","",IF(E11/INDEX(Matrices!$F$2:$F$15,T11)&gt;0.008856,(E11/INDEX(Matrices!$F$2:$F$15,T11))^(1/3),7.787*E11/INDEX(Matrices!$F$2:$F$15,T11)+16/116))</f>
        <v/>
      </c>
      <c r="AG11">
        <f>IF(OR($C11="",F11=""),"",MATCH(F11,$A$6:$A$45,0))</f>
        <v/>
      </c>
      <c r="AH11">
        <f>IF(OR($C11="",F11=""),"",INDEX($M$6:$M$45,AG11))</f>
        <v/>
      </c>
      <c r="AI11">
        <f>IF(OR($C11="",F11=""),"",INDEX($N$6:$N$45,AG11))</f>
        <v/>
      </c>
      <c r="AJ11">
        <f>IF(OR($C11="",F11=""),"",INDEX($O$6:$O$45,AG11))</f>
        <v/>
      </c>
      <c r="AK11">
        <f>IF(OR($C11="",F11=""),"",(SQRT(N11^2+O11^2)+SQRT(AI11^2+AJ11^2))/2)</f>
        <v/>
      </c>
      <c r="AL11">
        <f>IF(OR($C11="",F11=""),"",0.5*(1-SQRT(AK11^7/(AK11^7+25^7))))</f>
        <v/>
      </c>
      <c r="AM11">
        <f>IF(OR($C11="",F11=""),"",(1+AL11)*N11)</f>
        <v/>
      </c>
      <c r="AN11">
        <f>IF(OR($C11="",F11=""),"",(1+AL11)*AI11)</f>
        <v/>
      </c>
      <c r="AO11">
        <f>IF(OR($C11="",F11=""),"",SQRT(AM11^2+O11^2))</f>
        <v/>
      </c>
      <c r="AP11">
        <f>IF(OR($C11="",F11=""),"",SQRT(AN11^2+AJ11^2))</f>
        <v/>
      </c>
      <c r="AQ11">
        <f>IF(OR($C11="",F11=""),"",IF(AO11=0,0,MOD(DEGREES(ATAN2(AM11,O11)),360)))</f>
        <v/>
      </c>
      <c r="AR11">
        <f>IF(OR($C11="",F11=""),"",IF(AP11=0,0,MOD(DEGREES(ATAN2(AN11,AJ11)),360)))</f>
        <v/>
      </c>
      <c r="AS11">
        <f>IF(OR($C11="",F11=""),"",IF(AO11*AP11=0,0,IF((AR11-AQ11)&gt;180,(AR11-AQ11)-360,IF((AR11-AQ11)&lt;-180,(AR11-AQ11)+360,(AR11-AQ11)))))</f>
        <v/>
      </c>
      <c r="AT11">
        <f>IF(OR($C11="",F11=""),"",2*SQRT(AO11*AP11)*SIN(RADIANS(AS11/2)))</f>
        <v/>
      </c>
      <c r="AU11">
        <f>IF(OR($C11="",F11=""),"",(M11+AH11)/2)</f>
        <v/>
      </c>
      <c r="AV11">
        <f>IF(OR($C11="",F11=""),"",(AO11+AP11)/2)</f>
        <v/>
      </c>
      <c r="AW11">
        <f>IF(OR($C11="",F11=""),"",AQ11+AR11)</f>
        <v/>
      </c>
      <c r="AX11">
        <f>IF(OR($C11="",F11=""),"",IF(AO11*AP11=0,AW11,IF(ABS(AQ11-AR11)&gt;180,IF(AW11&lt;360,(AW11+360)/2,(AW11-360)/2),AW11/2)))</f>
        <v/>
      </c>
      <c r="AY11">
        <f>IF(OR($C11="",F11=""),"",1-0.17*COS(RADIANS(AX11-30))+0.24*COS(RADIANS(2*AX11))+0.32*COS(RADIANS(3*AX11+6))-0.2*COS(RADIANS(4*AX11-63)))</f>
        <v/>
      </c>
      <c r="AZ11">
        <f>IF(OR($C11="",F11=""),"",2*SQRT(AV11^7/(AV11^7+25^7)))</f>
        <v/>
      </c>
      <c r="BA11">
        <f>IF(OR($C11="",F11=""),"",1+0.015*(AU11-50)^2/SQRT(20+(AU11-50)^2))</f>
        <v/>
      </c>
      <c r="BB11">
        <f>IF(OR($C11="",F11=""),"",1+0.045*AV11)</f>
        <v/>
      </c>
      <c r="BC11">
        <f>IF(OR($C11="",F11=""),"",1+0.015*AV11*AY11)</f>
        <v/>
      </c>
      <c r="BD11">
        <f>IF(OR($C11="",F11=""),"",-SIN(RADIANS(2*30*EXP(-(((AX11-275)/25)^2))))*AZ11)</f>
        <v/>
      </c>
    </row>
    <row r="12">
      <c r="A12" s="7" t="n"/>
      <c r="B12" s="7" t="n"/>
      <c r="C12" s="7" t="n"/>
      <c r="D12" s="7" t="n"/>
      <c r="E12" s="7" t="n"/>
      <c r="F12" s="7" t="n"/>
      <c r="G12" s="8">
        <f>IF($C12="","",INDEX(Matrices!$G$2:$G$15,T12)*C12+INDEX(Matrices!$H$2:$H$15,T12)*D12+INDEX(Matrices!$I$2:$I$15,T12)*E12)</f>
        <v/>
      </c>
      <c r="H12" s="8">
        <f>IF($C12="","",INDEX(Matrices!$J$2:$J$15,T12)*C12+INDEX(Matrices!$K$2:$K$15,T12)*D12+INDEX(Matrices!$L$2:$L$15,T12)*E12)</f>
        <v/>
      </c>
      <c r="I12" s="8">
        <f>IF($C12="","",INDEX(Matrices!$M$2:$M$15,T12)*C12+INDEX(Matrices!$N$2:$N$15,T12)*D12+INDEX(Matrices!$O$2:$O$15,T12)*E12)</f>
        <v/>
      </c>
      <c r="J12" s="8">
        <f>IF($C12="","",W12)</f>
        <v/>
      </c>
      <c r="K12" s="8">
        <f>IF($C12="","",AC12*COS(RADIANS(V12)))</f>
        <v/>
      </c>
      <c r="L12" s="8">
        <f>IF($C12="","",AC12*SIN(RADIANS(V12)))</f>
        <v/>
      </c>
      <c r="M12" s="8">
        <f>IF($C12="","",116*AE12-16)</f>
        <v/>
      </c>
      <c r="N12" s="8">
        <f>IF($C12="","",500*(AD12-AE12))</f>
        <v/>
      </c>
      <c r="O12" s="8">
        <f>IF($C12="","",200*(AE12-AF12))</f>
        <v/>
      </c>
      <c r="P12" s="8">
        <f>IF(OR($C12="",F12=""),"",SQRT((J12-INDEX($J$6:$J$45,AG12))^2+(K12-INDEX($K$6:$K$45,AG12))^2+(L12-INDEX($L$6:$L$45,AG12))^2))</f>
        <v/>
      </c>
      <c r="Q12" s="8">
        <f>IF(OR($C12="",F12=""),"",SQRT((M12-INDEX($M$6:$M$45,AG12))^2+(N12-INDEX($N$6:$N$45,AG12))^2+(O12-INDEX($O$6:$O$45,AG12))^2))</f>
        <v/>
      </c>
      <c r="R12" s="8">
        <f>IF(OR($C12="",F12=""),"",SQRT(((AH12-M12)/BA12)^2+((AP12-AO12)/BB12)^2+(AT12/BC12)^2+BD12*((AP12-AO12)/BB12)*(AT12/BC12)))</f>
        <v/>
      </c>
      <c r="T12">
        <f>IF($C12="","",MATCH(B12,Matrices!$A$2:$A$15,0))</f>
        <v/>
      </c>
      <c r="U12">
        <f>IF($C12="","",SQRT(H12^2+I12^2))</f>
        <v/>
      </c>
      <c r="V12">
        <f>IF($C12="","",IF(U12=0,0,MOD(DEGREES(ATAN2(H12,I12)),360)))</f>
        <v/>
      </c>
      <c r="W12">
        <f>IF($C12="","",IF(G12/100&gt;(6/29)^3,(G12/100)^(1/3),(1/3)*(29/6)^2*G12/100+16/116)*116-16)</f>
        <v/>
      </c>
      <c r="X12">
        <f>IF($C12="","",EXP(0.026742553710937*(W12-51.576165618406904))/0.45888671875)</f>
        <v/>
      </c>
      <c r="Y12">
        <f>IF($C12="","",U12/X12)</f>
        <v/>
      </c>
      <c r="Z12">
        <f>IF($C12="","",IF(AND(V12&gt;1,V12&lt;181),SIN(RADIANS(V12-1))^3,0)+IF(AND(V12&gt;104,V12&lt;284),0.39*COS(RADIANS(V12-14))^2,0))</f>
        <v/>
      </c>
      <c r="AA12">
        <f>IF($C12="","",62*(Z12+0.31))</f>
        <v/>
      </c>
      <c r="AB12">
        <f>IF($C12="","",0.36*(Z12+0.19))</f>
        <v/>
      </c>
      <c r="AC12">
        <f>IF($C12="","",AA12*(LN(Y12/80+AB12)-LN(AB12)))</f>
        <v/>
      </c>
      <c r="AD12">
        <f>IF($C12="","",IF(C12/INDEX(Matrices!$D$2:$D$15,T12)&gt;0.008856,(C12/INDEX(Matrices!$D$2:$D$15,T12))^(1/3),7.787*C12/INDEX(Matrices!$D$2:$D$15,T12)+16/116))</f>
        <v/>
      </c>
      <c r="AE12">
        <f>IF($C12="","",IF(D12/INDEX(Matrices!$E$2:$E$15,T12)&gt;0.008856,(D12/INDEX(Matrices!$E$2:$E$15,T12))^(1/3),7.787*D12/INDEX(Matrices!$E$2:$E$15,T12)+16/116))</f>
        <v/>
      </c>
      <c r="AF12">
        <f>IF($C12="","",IF(E12/INDEX(Matrices!$F$2:$F$15,T12)&gt;0.008856,(E12/INDEX(Matrices!$F$2:$F$15,T12))^(1/3),7.787*E12/INDEX(Matrices!$F$2:$F$15,T12)+16/116))</f>
        <v/>
      </c>
      <c r="AG12">
        <f>IF(OR($C12="",F12=""),"",MATCH(F12,$A$6:$A$45,0))</f>
        <v/>
      </c>
      <c r="AH12">
        <f>IF(OR($C12="",F12=""),"",INDEX($M$6:$M$45,AG12))</f>
        <v/>
      </c>
      <c r="AI12">
        <f>IF(OR($C12="",F12=""),"",INDEX($N$6:$N$45,AG12))</f>
        <v/>
      </c>
      <c r="AJ12">
        <f>IF(OR($C12="",F12=""),"",INDEX($O$6:$O$45,AG12))</f>
        <v/>
      </c>
      <c r="AK12">
        <f>IF(OR($C12="",F12=""),"",(SQRT(N12^2+O12^2)+SQRT(AI12^2+AJ12^2))/2)</f>
        <v/>
      </c>
      <c r="AL12">
        <f>IF(OR($C12="",F12=""),"",0.5*(1-SQRT(AK12^7/(AK12^7+25^7))))</f>
        <v/>
      </c>
      <c r="AM12">
        <f>IF(OR($C12="",F12=""),"",(1+AL12)*N12)</f>
        <v/>
      </c>
      <c r="AN12">
        <f>IF(OR($C12="",F12=""),"",(1+AL12)*AI12)</f>
        <v/>
      </c>
      <c r="AO12">
        <f>IF(OR($C12="",F12=""),"",SQRT(AM12^2+O12^2))</f>
        <v/>
      </c>
      <c r="AP12">
        <f>IF(OR($C12="",F12=""),"",SQRT(AN12^2+AJ12^2))</f>
        <v/>
      </c>
      <c r="AQ12">
        <f>IF(OR($C12="",F12=""),"",IF(AO12=0,0,MOD(DEGREES(ATAN2(AM12,O12)),360)))</f>
        <v/>
      </c>
      <c r="AR12">
        <f>IF(OR($C12="",F12=""),"",IF(AP12=0,0,MOD(DEGREES(ATAN2(AN12,AJ12)),360)))</f>
        <v/>
      </c>
      <c r="AS12">
        <f>IF(OR($C12="",F12=""),"",IF(AO12*AP12=0,0,IF((AR12-AQ12)&gt;180,(AR12-AQ12)-360,IF((AR12-AQ12)&lt;-180,(AR12-AQ12)+360,(AR12-AQ12)))))</f>
        <v/>
      </c>
      <c r="AT12">
        <f>IF(OR($C12="",F12=""),"",2*SQRT(AO12*AP12)*SIN(RADIANS(AS12/2)))</f>
        <v/>
      </c>
      <c r="AU12">
        <f>IF(OR($C12="",F12=""),"",(M12+AH12)/2)</f>
        <v/>
      </c>
      <c r="AV12">
        <f>IF(OR($C12="",F12=""),"",(AO12+AP12)/2)</f>
        <v/>
      </c>
      <c r="AW12">
        <f>IF(OR($C12="",F12=""),"",AQ12+AR12)</f>
        <v/>
      </c>
      <c r="AX12">
        <f>IF(OR($C12="",F12=""),"",IF(AO12*AP12=0,AW12,IF(ABS(AQ12-AR12)&gt;180,IF(AW12&lt;360,(AW12+360)/2,(AW12-360)/2),AW12/2)))</f>
        <v/>
      </c>
      <c r="AY12">
        <f>IF(OR($C12="",F12=""),"",1-0.17*COS(RADIANS(AX12-30))+0.24*COS(RADIANS(2*AX12))+0.32*COS(RADIANS(3*AX12+6))-0.2*COS(RADIANS(4*AX12-63)))</f>
        <v/>
      </c>
      <c r="AZ12">
        <f>IF(OR($C12="",F12=""),"",2*SQRT(AV12^7/(AV12^7+25^7)))</f>
        <v/>
      </c>
      <c r="BA12">
        <f>IF(OR($C12="",F12=""),"",1+0.015*(AU12-50)^2/SQRT(20+(AU12-50)^2))</f>
        <v/>
      </c>
      <c r="BB12">
        <f>IF(OR($C12="",F12=""),"",1+0.045*AV12)</f>
        <v/>
      </c>
      <c r="BC12">
        <f>IF(OR($C12="",F12=""),"",1+0.015*AV12*AY12)</f>
        <v/>
      </c>
      <c r="BD12">
        <f>IF(OR($C12="",F12=""),"",-SIN(RADIANS(2*30*EXP(-(((AX12-275)/25)^2))))*AZ12)</f>
        <v/>
      </c>
    </row>
    <row r="13">
      <c r="A13" s="7" t="n"/>
      <c r="B13" s="7" t="n"/>
      <c r="C13" s="7" t="n"/>
      <c r="D13" s="7" t="n"/>
      <c r="E13" s="7" t="n"/>
      <c r="F13" s="7" t="n"/>
      <c r="G13" s="8">
        <f>IF($C13="","",INDEX(Matrices!$G$2:$G$15,T13)*C13+INDEX(Matrices!$H$2:$H$15,T13)*D13+INDEX(Matrices!$I$2:$I$15,T13)*E13)</f>
        <v/>
      </c>
      <c r="H13" s="8">
        <f>IF($C13="","",INDEX(Matrices!$J$2:$J$15,T13)*C13+INDEX(Matrices!$K$2:$K$15,T13)*D13+INDEX(Matrices!$L$2:$L$15,T13)*E13)</f>
        <v/>
      </c>
      <c r="I13" s="8">
        <f>IF($C13="","",INDEX(Matrices!$M$2:$M$15,T13)*C13+INDEX(Matrices!$N$2:$N$15,T13)*D13+INDEX(Matrices!$O$2:$O$15,T13)*E13)</f>
        <v/>
      </c>
      <c r="J13" s="8">
        <f>IF($C13="","",W13)</f>
        <v/>
      </c>
      <c r="K13" s="8">
        <f>IF($C13="","",AC13*COS(RADIANS(V13)))</f>
        <v/>
      </c>
      <c r="L13" s="8">
        <f>IF($C13="","",AC13*SIN(RADIANS(V13)))</f>
        <v/>
      </c>
      <c r="M13" s="8">
        <f>IF($C13="","",116*AE13-16)</f>
        <v/>
      </c>
      <c r="N13" s="8">
        <f>IF($C13="","",500*(AD13-AE13))</f>
        <v/>
      </c>
      <c r="O13" s="8">
        <f>IF($C13="","",200*(AE13-AF13))</f>
        <v/>
      </c>
      <c r="P13" s="8">
        <f>IF(OR($C13="",F13=""),"",SQRT((J13-INDEX($J$6:$J$45,AG13))^2+(K13-INDEX($K$6:$K$45,AG13))^2+(L13-INDEX($L$6:$L$45,AG13))^2))</f>
        <v/>
      </c>
      <c r="Q13" s="8">
        <f>IF(OR($C13="",F13=""),"",SQRT((M13-INDEX($M$6:$M$45,AG13))^2+(N13-INDEX($N$6:$N$45,AG13))^2+(O13-INDEX($O$6:$O$45,AG13))^2))</f>
        <v/>
      </c>
      <c r="R13" s="8">
        <f>IF(OR($C13="",F13=""),"",SQRT(((AH13-M13)/BA13)^2+((AP13-AO13)/BB13)^2+(AT13/BC13)^2+BD13*((AP13-AO13)/BB13)*(AT13/BC13)))</f>
        <v/>
      </c>
      <c r="T13">
        <f>IF($C13="","",MATCH(B13,Matrices!$A$2:$A$15,0))</f>
        <v/>
      </c>
      <c r="U13">
        <f>IF($C13="","",SQRT(H13^2+I13^2))</f>
        <v/>
      </c>
      <c r="V13">
        <f>IF($C13="","",IF(U13=0,0,MOD(DEGREES(ATAN2(H13,I13)),360)))</f>
        <v/>
      </c>
      <c r="W13">
        <f>IF($C13="","",IF(G13/100&gt;(6/29)^3,(G13/100)^(1/3),(1/3)*(29/6)^2*G13/100+16/116)*116-16)</f>
        <v/>
      </c>
      <c r="X13">
        <f>IF($C13="","",EXP(0.026742553710937*(W13-51.576165618406904))/0.45888671875)</f>
        <v/>
      </c>
      <c r="Y13">
        <f>IF($C13="","",U13/X13)</f>
        <v/>
      </c>
      <c r="Z13">
        <f>IF($C13="","",IF(AND(V13&gt;1,V13&lt;181),SIN(RADIANS(V13-1))^3,0)+IF(AND(V13&gt;104,V13&lt;284),0.39*COS(RADIANS(V13-14))^2,0))</f>
        <v/>
      </c>
      <c r="AA13">
        <f>IF($C13="","",62*(Z13+0.31))</f>
        <v/>
      </c>
      <c r="AB13">
        <f>IF($C13="","",0.36*(Z13+0.19))</f>
        <v/>
      </c>
      <c r="AC13">
        <f>IF($C13="","",AA13*(LN(Y13/80+AB13)-LN(AB13)))</f>
        <v/>
      </c>
      <c r="AD13">
        <f>IF($C13="","",IF(C13/INDEX(Matrices!$D$2:$D$15,T13)&gt;0.008856,(C13/INDEX(Matrices!$D$2:$D$15,T13))^(1/3),7.787*C13/INDEX(Matrices!$D$2:$D$15,T13)+16/116))</f>
        <v/>
      </c>
      <c r="AE13">
        <f>IF($C13="","",IF(D13/INDEX(Matrices!$E$2:$E$15,T13)&gt;0.008856,(D13/INDEX(Matrices!$E$2:$E$15,T13))^(1/3),7.787*D13/INDEX(Matrices!$E$2:$E$15,T13)+16/116))</f>
        <v/>
      </c>
      <c r="AF13">
        <f>IF($C13="","",IF(E13/INDEX(Matrices!$F$2:$F$15,T13)&gt;0.008856,(E13/INDEX(Matrices!$F$2:$F$15,T13))^(1/3),7.787*E13/INDEX(Matrices!$F$2:$F$15,T13)+16/116))</f>
        <v/>
      </c>
      <c r="AG13">
        <f>IF(OR($C13="",F13=""),"",MATCH(F13,$A$6:$A$45,0))</f>
        <v/>
      </c>
      <c r="AH13">
        <f>IF(OR($C13="",F13=""),"",INDEX($M$6:$M$45,AG13))</f>
        <v/>
      </c>
      <c r="AI13">
        <f>IF(OR($C13="",F13=""),"",INDEX($N$6:$N$45,AG13))</f>
        <v/>
      </c>
      <c r="AJ13">
        <f>IF(OR($C13="",F13=""),"",INDEX($O$6:$O$45,AG13))</f>
        <v/>
      </c>
      <c r="AK13">
        <f>IF(OR($C13="",F13=""),"",(SQRT(N13^2+O13^2)+SQRT(AI13^2+AJ13^2))/2)</f>
        <v/>
      </c>
      <c r="AL13">
        <f>IF(OR($C13="",F13=""),"",0.5*(1-SQRT(AK13^7/(AK13^7+25^7))))</f>
        <v/>
      </c>
      <c r="AM13">
        <f>IF(OR($C13="",F13=""),"",(1+AL13)*N13)</f>
        <v/>
      </c>
      <c r="AN13">
        <f>IF(OR($C13="",F13=""),"",(1+AL13)*AI13)</f>
        <v/>
      </c>
      <c r="AO13">
        <f>IF(OR($C13="",F13=""),"",SQRT(AM13^2+O13^2))</f>
        <v/>
      </c>
      <c r="AP13">
        <f>IF(OR($C13="",F13=""),"",SQRT(AN13^2+AJ13^2))</f>
        <v/>
      </c>
      <c r="AQ13">
        <f>IF(OR($C13="",F13=""),"",IF(AO13=0,0,MOD(DEGREES(ATAN2(AM13,O13)),360)))</f>
        <v/>
      </c>
      <c r="AR13">
        <f>IF(OR($C13="",F13=""),"",IF(AP13=0,0,MOD(DEGREES(ATAN2(AN13,AJ13)),360)))</f>
        <v/>
      </c>
      <c r="AS13">
        <f>IF(OR($C13="",F13=""),"",IF(AO13*AP13=0,0,IF((AR13-AQ13)&gt;180,(AR13-AQ13)-360,IF((AR13-AQ13)&lt;-180,(AR13-AQ13)+360,(AR13-AQ13)))))</f>
        <v/>
      </c>
      <c r="AT13">
        <f>IF(OR($C13="",F13=""),"",2*SQRT(AO13*AP13)*SIN(RADIANS(AS13/2)))</f>
        <v/>
      </c>
      <c r="AU13">
        <f>IF(OR($C13="",F13=""),"",(M13+AH13)/2)</f>
        <v/>
      </c>
      <c r="AV13">
        <f>IF(OR($C13="",F13=""),"",(AO13+AP13)/2)</f>
        <v/>
      </c>
      <c r="AW13">
        <f>IF(OR($C13="",F13=""),"",AQ13+AR13)</f>
        <v/>
      </c>
      <c r="AX13">
        <f>IF(OR($C13="",F13=""),"",IF(AO13*AP13=0,AW13,IF(ABS(AQ13-AR13)&gt;180,IF(AW13&lt;360,(AW13+360)/2,(AW13-360)/2),AW13/2)))</f>
        <v/>
      </c>
      <c r="AY13">
        <f>IF(OR($C13="",F13=""),"",1-0.17*COS(RADIANS(AX13-30))+0.24*COS(RADIANS(2*AX13))+0.32*COS(RADIANS(3*AX13+6))-0.2*COS(RADIANS(4*AX13-63)))</f>
        <v/>
      </c>
      <c r="AZ13">
        <f>IF(OR($C13="",F13=""),"",2*SQRT(AV13^7/(AV13^7+25^7)))</f>
        <v/>
      </c>
      <c r="BA13">
        <f>IF(OR($C13="",F13=""),"",1+0.015*(AU13-50)^2/SQRT(20+(AU13-50)^2))</f>
        <v/>
      </c>
      <c r="BB13">
        <f>IF(OR($C13="",F13=""),"",1+0.045*AV13)</f>
        <v/>
      </c>
      <c r="BC13">
        <f>IF(OR($C13="",F13=""),"",1+0.015*AV13*AY13)</f>
        <v/>
      </c>
      <c r="BD13">
        <f>IF(OR($C13="",F13=""),"",-SIN(RADIANS(2*30*EXP(-(((AX13-275)/25)^2))))*AZ13)</f>
        <v/>
      </c>
    </row>
    <row r="14">
      <c r="A14" s="7" t="n"/>
      <c r="B14" s="7" t="n"/>
      <c r="C14" s="7" t="n"/>
      <c r="D14" s="7" t="n"/>
      <c r="E14" s="7" t="n"/>
      <c r="F14" s="7" t="n"/>
      <c r="G14" s="8">
        <f>IF($C14="","",INDEX(Matrices!$G$2:$G$15,T14)*C14+INDEX(Matrices!$H$2:$H$15,T14)*D14+INDEX(Matrices!$I$2:$I$15,T14)*E14)</f>
        <v/>
      </c>
      <c r="H14" s="8">
        <f>IF($C14="","",INDEX(Matrices!$J$2:$J$15,T14)*C14+INDEX(Matrices!$K$2:$K$15,T14)*D14+INDEX(Matrices!$L$2:$L$15,T14)*E14)</f>
        <v/>
      </c>
      <c r="I14" s="8">
        <f>IF($C14="","",INDEX(Matrices!$M$2:$M$15,T14)*C14+INDEX(Matrices!$N$2:$N$15,T14)*D14+INDEX(Matrices!$O$2:$O$15,T14)*E14)</f>
        <v/>
      </c>
      <c r="J14" s="8">
        <f>IF($C14="","",W14)</f>
        <v/>
      </c>
      <c r="K14" s="8">
        <f>IF($C14="","",AC14*COS(RADIANS(V14)))</f>
        <v/>
      </c>
      <c r="L14" s="8">
        <f>IF($C14="","",AC14*SIN(RADIANS(V14)))</f>
        <v/>
      </c>
      <c r="M14" s="8">
        <f>IF($C14="","",116*AE14-16)</f>
        <v/>
      </c>
      <c r="N14" s="8">
        <f>IF($C14="","",500*(AD14-AE14))</f>
        <v/>
      </c>
      <c r="O14" s="8">
        <f>IF($C14="","",200*(AE14-AF14))</f>
        <v/>
      </c>
      <c r="P14" s="8">
        <f>IF(OR($C14="",F14=""),"",SQRT((J14-INDEX($J$6:$J$45,AG14))^2+(K14-INDEX($K$6:$K$45,AG14))^2+(L14-INDEX($L$6:$L$45,AG14))^2))</f>
        <v/>
      </c>
      <c r="Q14" s="8">
        <f>IF(OR($C14="",F14=""),"",SQRT((M14-INDEX($M$6:$M$45,AG14))^2+(N14-INDEX($N$6:$N$45,AG14))^2+(O14-INDEX($O$6:$O$45,AG14))^2))</f>
        <v/>
      </c>
      <c r="R14" s="8">
        <f>IF(OR($C14="",F14=""),"",SQRT(((AH14-M14)/BA14)^2+((AP14-AO14)/BB14)^2+(AT14/BC14)^2+BD14*((AP14-AO14)/BB14)*(AT14/BC14)))</f>
        <v/>
      </c>
      <c r="T14">
        <f>IF($C14="","",MATCH(B14,Matrices!$A$2:$A$15,0))</f>
        <v/>
      </c>
      <c r="U14">
        <f>IF($C14="","",SQRT(H14^2+I14^2))</f>
        <v/>
      </c>
      <c r="V14">
        <f>IF($C14="","",IF(U14=0,0,MOD(DEGREES(ATAN2(H14,I14)),360)))</f>
        <v/>
      </c>
      <c r="W14">
        <f>IF($C14="","",IF(G14/100&gt;(6/29)^3,(G14/100)^(1/3),(1/3)*(29/6)^2*G14/100+16/116)*116-16)</f>
        <v/>
      </c>
      <c r="X14">
        <f>IF($C14="","",EXP(0.026742553710937*(W14-51.576165618406904))/0.45888671875)</f>
        <v/>
      </c>
      <c r="Y14">
        <f>IF($C14="","",U14/X14)</f>
        <v/>
      </c>
      <c r="Z14">
        <f>IF($C14="","",IF(AND(V14&gt;1,V14&lt;181),SIN(RADIANS(V14-1))^3,0)+IF(AND(V14&gt;104,V14&lt;284),0.39*COS(RADIANS(V14-14))^2,0))</f>
        <v/>
      </c>
      <c r="AA14">
        <f>IF($C14="","",62*(Z14+0.31))</f>
        <v/>
      </c>
      <c r="AB14">
        <f>IF($C14="","",0.36*(Z14+0.19))</f>
        <v/>
      </c>
      <c r="AC14">
        <f>IF($C14="","",AA14*(LN(Y14/80+AB14)-LN(AB14)))</f>
        <v/>
      </c>
      <c r="AD14">
        <f>IF($C14="","",IF(C14/INDEX(Matrices!$D$2:$D$15,T14)&gt;0.008856,(C14/INDEX(Matrices!$D$2:$D$15,T14))^(1/3),7.787*C14/INDEX(Matrices!$D$2:$D$15,T14)+16/116))</f>
        <v/>
      </c>
      <c r="AE14">
        <f>IF($C14="","",IF(D14/INDEX(Matrices!$E$2:$E$15,T14)&gt;0.008856,(D14/INDEX(Matrices!$E$2:$E$15,T14))^(1/3),7.787*D14/INDEX(Matrices!$E$2:$E$15,T14)+16/116))</f>
        <v/>
      </c>
      <c r="AF14">
        <f>IF($C14="","",IF(E14/INDEX(Matrices!$F$2:$F$15,T14)&gt;0.008856,(E14/INDEX(Matrices!$F$2:$F$15,T14))^(1/3),7.787*E14/INDEX(Matrices!$F$2:$F$15,T14)+16/116))</f>
        <v/>
      </c>
      <c r="AG14">
        <f>IF(OR($C14="",F14=""),"",MATCH(F14,$A$6:$A$45,0))</f>
        <v/>
      </c>
      <c r="AH14">
        <f>IF(OR($C14="",F14=""),"",INDEX($M$6:$M$45,AG14))</f>
        <v/>
      </c>
      <c r="AI14">
        <f>IF(OR($C14="",F14=""),"",INDEX($N$6:$N$45,AG14))</f>
        <v/>
      </c>
      <c r="AJ14">
        <f>IF(OR($C14="",F14=""),"",INDEX($O$6:$O$45,AG14))</f>
        <v/>
      </c>
      <c r="AK14">
        <f>IF(OR($C14="",F14=""),"",(SQRT(N14^2+O14^2)+SQRT(AI14^2+AJ14^2))/2)</f>
        <v/>
      </c>
      <c r="AL14">
        <f>IF(OR($C14="",F14=""),"",0.5*(1-SQRT(AK14^7/(AK14^7+25^7))))</f>
        <v/>
      </c>
      <c r="AM14">
        <f>IF(OR($C14="",F14=""),"",(1+AL14)*N14)</f>
        <v/>
      </c>
      <c r="AN14">
        <f>IF(OR($C14="",F14=""),"",(1+AL14)*AI14)</f>
        <v/>
      </c>
      <c r="AO14">
        <f>IF(OR($C14="",F14=""),"",SQRT(AM14^2+O14^2))</f>
        <v/>
      </c>
      <c r="AP14">
        <f>IF(OR($C14="",F14=""),"",SQRT(AN14^2+AJ14^2))</f>
        <v/>
      </c>
      <c r="AQ14">
        <f>IF(OR($C14="",F14=""),"",IF(AO14=0,0,MOD(DEGREES(ATAN2(AM14,O14)),360)))</f>
        <v/>
      </c>
      <c r="AR14">
        <f>IF(OR($C14="",F14=""),"",IF(AP14=0,0,MOD(DEGREES(ATAN2(AN14,AJ14)),360)))</f>
        <v/>
      </c>
      <c r="AS14">
        <f>IF(OR($C14="",F14=""),"",IF(AO14*AP14=0,0,IF((AR14-AQ14)&gt;180,(AR14-AQ14)-360,IF((AR14-AQ14)&lt;-180,(AR14-AQ14)+360,(AR14-AQ14)))))</f>
        <v/>
      </c>
      <c r="AT14">
        <f>IF(OR($C14="",F14=""),"",2*SQRT(AO14*AP14)*SIN(RADIANS(AS14/2)))</f>
        <v/>
      </c>
      <c r="AU14">
        <f>IF(OR($C14="",F14=""),"",(M14+AH14)/2)</f>
        <v/>
      </c>
      <c r="AV14">
        <f>IF(OR($C14="",F14=""),"",(AO14+AP14)/2)</f>
        <v/>
      </c>
      <c r="AW14">
        <f>IF(OR($C14="",F14=""),"",AQ14+AR14)</f>
        <v/>
      </c>
      <c r="AX14">
        <f>IF(OR($C14="",F14=""),"",IF(AO14*AP14=0,AW14,IF(ABS(AQ14-AR14)&gt;180,IF(AW14&lt;360,(AW14+360)/2,(AW14-360)/2),AW14/2)))</f>
        <v/>
      </c>
      <c r="AY14">
        <f>IF(OR($C14="",F14=""),"",1-0.17*COS(RADIANS(AX14-30))+0.24*COS(RADIANS(2*AX14))+0.32*COS(RADIANS(3*AX14+6))-0.2*COS(RADIANS(4*AX14-63)))</f>
        <v/>
      </c>
      <c r="AZ14">
        <f>IF(OR($C14="",F14=""),"",2*SQRT(AV14^7/(AV14^7+25^7)))</f>
        <v/>
      </c>
      <c r="BA14">
        <f>IF(OR($C14="",F14=""),"",1+0.015*(AU14-50)^2/SQRT(20+(AU14-50)^2))</f>
        <v/>
      </c>
      <c r="BB14">
        <f>IF(OR($C14="",F14=""),"",1+0.045*AV14)</f>
        <v/>
      </c>
      <c r="BC14">
        <f>IF(OR($C14="",F14=""),"",1+0.015*AV14*AY14)</f>
        <v/>
      </c>
      <c r="BD14">
        <f>IF(OR($C14="",F14=""),"",-SIN(RADIANS(2*30*EXP(-(((AX14-275)/25)^2))))*AZ14)</f>
        <v/>
      </c>
    </row>
    <row r="15">
      <c r="A15" s="7" t="n"/>
      <c r="B15" s="7" t="n"/>
      <c r="C15" s="7" t="n"/>
      <c r="D15" s="7" t="n"/>
      <c r="E15" s="7" t="n"/>
      <c r="F15" s="7" t="n"/>
      <c r="G15" s="8">
        <f>IF($C15="","",INDEX(Matrices!$G$2:$G$15,T15)*C15+INDEX(Matrices!$H$2:$H$15,T15)*D15+INDEX(Matrices!$I$2:$I$15,T15)*E15)</f>
        <v/>
      </c>
      <c r="H15" s="8">
        <f>IF($C15="","",INDEX(Matrices!$J$2:$J$15,T15)*C15+INDEX(Matrices!$K$2:$K$15,T15)*D15+INDEX(Matrices!$L$2:$L$15,T15)*E15)</f>
        <v/>
      </c>
      <c r="I15" s="8">
        <f>IF($C15="","",INDEX(Matrices!$M$2:$M$15,T15)*C15+INDEX(Matrices!$N$2:$N$15,T15)*D15+INDEX(Matrices!$O$2:$O$15,T15)*E15)</f>
        <v/>
      </c>
      <c r="J15" s="8">
        <f>IF($C15="","",W15)</f>
        <v/>
      </c>
      <c r="K15" s="8">
        <f>IF($C15="","",AC15*COS(RADIANS(V15)))</f>
        <v/>
      </c>
      <c r="L15" s="8">
        <f>IF($C15="","",AC15*SIN(RADIANS(V15)))</f>
        <v/>
      </c>
      <c r="M15" s="8">
        <f>IF($C15="","",116*AE15-16)</f>
        <v/>
      </c>
      <c r="N15" s="8">
        <f>IF($C15="","",500*(AD15-AE15))</f>
        <v/>
      </c>
      <c r="O15" s="8">
        <f>IF($C15="","",200*(AE15-AF15))</f>
        <v/>
      </c>
      <c r="P15" s="8">
        <f>IF(OR($C15="",F15=""),"",SQRT((J15-INDEX($J$6:$J$45,AG15))^2+(K15-INDEX($K$6:$K$45,AG15))^2+(L15-INDEX($L$6:$L$45,AG15))^2))</f>
        <v/>
      </c>
      <c r="Q15" s="8">
        <f>IF(OR($C15="",F15=""),"",SQRT((M15-INDEX($M$6:$M$45,AG15))^2+(N15-INDEX($N$6:$N$45,AG15))^2+(O15-INDEX($O$6:$O$45,AG15))^2))</f>
        <v/>
      </c>
      <c r="R15" s="8">
        <f>IF(OR($C15="",F15=""),"",SQRT(((AH15-M15)/BA15)^2+((AP15-AO15)/BB15)^2+(AT15/BC15)^2+BD15*((AP15-AO15)/BB15)*(AT15/BC15)))</f>
        <v/>
      </c>
      <c r="T15">
        <f>IF($C15="","",MATCH(B15,Matrices!$A$2:$A$15,0))</f>
        <v/>
      </c>
      <c r="U15">
        <f>IF($C15="","",SQRT(H15^2+I15^2))</f>
        <v/>
      </c>
      <c r="V15">
        <f>IF($C15="","",IF(U15=0,0,MOD(DEGREES(ATAN2(H15,I15)),360)))</f>
        <v/>
      </c>
      <c r="W15">
        <f>IF($C15="","",IF(G15/100&gt;(6/29)^3,(G15/100)^(1/3),(1/3)*(29/6)^2*G15/100+16/116)*116-16)</f>
        <v/>
      </c>
      <c r="X15">
        <f>IF($C15="","",EXP(0.026742553710937*(W15-51.576165618406904))/0.45888671875)</f>
        <v/>
      </c>
      <c r="Y15">
        <f>IF($C15="","",U15/X15)</f>
        <v/>
      </c>
      <c r="Z15">
        <f>IF($C15="","",IF(AND(V15&gt;1,V15&lt;181),SIN(RADIANS(V15-1))^3,0)+IF(AND(V15&gt;104,V15&lt;284),0.39*COS(RADIANS(V15-14))^2,0))</f>
        <v/>
      </c>
      <c r="AA15">
        <f>IF($C15="","",62*(Z15+0.31))</f>
        <v/>
      </c>
      <c r="AB15">
        <f>IF($C15="","",0.36*(Z15+0.19))</f>
        <v/>
      </c>
      <c r="AC15">
        <f>IF($C15="","",AA15*(LN(Y15/80+AB15)-LN(AB15)))</f>
        <v/>
      </c>
      <c r="AD15">
        <f>IF($C15="","",IF(C15/INDEX(Matrices!$D$2:$D$15,T15)&gt;0.008856,(C15/INDEX(Matrices!$D$2:$D$15,T15))^(1/3),7.787*C15/INDEX(Matrices!$D$2:$D$15,T15)+16/116))</f>
        <v/>
      </c>
      <c r="AE15">
        <f>IF($C15="","",IF(D15/INDEX(Matrices!$E$2:$E$15,T15)&gt;0.008856,(D15/INDEX(Matrices!$E$2:$E$15,T15))^(1/3),7.787*D15/INDEX(Matrices!$E$2:$E$15,T15)+16/116))</f>
        <v/>
      </c>
      <c r="AF15">
        <f>IF($C15="","",IF(E15/INDEX(Matrices!$F$2:$F$15,T15)&gt;0.008856,(E15/INDEX(Matrices!$F$2:$F$15,T15))^(1/3),7.787*E15/INDEX(Matrices!$F$2:$F$15,T15)+16/116))</f>
        <v/>
      </c>
      <c r="AG15">
        <f>IF(OR($C15="",F15=""),"",MATCH(F15,$A$6:$A$45,0))</f>
        <v/>
      </c>
      <c r="AH15">
        <f>IF(OR($C15="",F15=""),"",INDEX($M$6:$M$45,AG15))</f>
        <v/>
      </c>
      <c r="AI15">
        <f>IF(OR($C15="",F15=""),"",INDEX($N$6:$N$45,AG15))</f>
        <v/>
      </c>
      <c r="AJ15">
        <f>IF(OR($C15="",F15=""),"",INDEX($O$6:$O$45,AG15))</f>
        <v/>
      </c>
      <c r="AK15">
        <f>IF(OR($C15="",F15=""),"",(SQRT(N15^2+O15^2)+SQRT(AI15^2+AJ15^2))/2)</f>
        <v/>
      </c>
      <c r="AL15">
        <f>IF(OR($C15="",F15=""),"",0.5*(1-SQRT(AK15^7/(AK15^7+25^7))))</f>
        <v/>
      </c>
      <c r="AM15">
        <f>IF(OR($C15="",F15=""),"",(1+AL15)*N15)</f>
        <v/>
      </c>
      <c r="AN15">
        <f>IF(OR($C15="",F15=""),"",(1+AL15)*AI15)</f>
        <v/>
      </c>
      <c r="AO15">
        <f>IF(OR($C15="",F15=""),"",SQRT(AM15^2+O15^2))</f>
        <v/>
      </c>
      <c r="AP15">
        <f>IF(OR($C15="",F15=""),"",SQRT(AN15^2+AJ15^2))</f>
        <v/>
      </c>
      <c r="AQ15">
        <f>IF(OR($C15="",F15=""),"",IF(AO15=0,0,MOD(DEGREES(ATAN2(AM15,O15)),360)))</f>
        <v/>
      </c>
      <c r="AR15">
        <f>IF(OR($C15="",F15=""),"",IF(AP15=0,0,MOD(DEGREES(ATAN2(AN15,AJ15)),360)))</f>
        <v/>
      </c>
      <c r="AS15">
        <f>IF(OR($C15="",F15=""),"",IF(AO15*AP15=0,0,IF((AR15-AQ15)&gt;180,(AR15-AQ15)-360,IF((AR15-AQ15)&lt;-180,(AR15-AQ15)+360,(AR15-AQ15)))))</f>
        <v/>
      </c>
      <c r="AT15">
        <f>IF(OR($C15="",F15=""),"",2*SQRT(AO15*AP15)*SIN(RADIANS(AS15/2)))</f>
        <v/>
      </c>
      <c r="AU15">
        <f>IF(OR($C15="",F15=""),"",(M15+AH15)/2)</f>
        <v/>
      </c>
      <c r="AV15">
        <f>IF(OR($C15="",F15=""),"",(AO15+AP15)/2)</f>
        <v/>
      </c>
      <c r="AW15">
        <f>IF(OR($C15="",F15=""),"",AQ15+AR15)</f>
        <v/>
      </c>
      <c r="AX15">
        <f>IF(OR($C15="",F15=""),"",IF(AO15*AP15=0,AW15,IF(ABS(AQ15-AR15)&gt;180,IF(AW15&lt;360,(AW15+360)/2,(AW15-360)/2),AW15/2)))</f>
        <v/>
      </c>
      <c r="AY15">
        <f>IF(OR($C15="",F15=""),"",1-0.17*COS(RADIANS(AX15-30))+0.24*COS(RADIANS(2*AX15))+0.32*COS(RADIANS(3*AX15+6))-0.2*COS(RADIANS(4*AX15-63)))</f>
        <v/>
      </c>
      <c r="AZ15">
        <f>IF(OR($C15="",F15=""),"",2*SQRT(AV15^7/(AV15^7+25^7)))</f>
        <v/>
      </c>
      <c r="BA15">
        <f>IF(OR($C15="",F15=""),"",1+0.015*(AU15-50)^2/SQRT(20+(AU15-50)^2))</f>
        <v/>
      </c>
      <c r="BB15">
        <f>IF(OR($C15="",F15=""),"",1+0.045*AV15)</f>
        <v/>
      </c>
      <c r="BC15">
        <f>IF(OR($C15="",F15=""),"",1+0.015*AV15*AY15)</f>
        <v/>
      </c>
      <c r="BD15">
        <f>IF(OR($C15="",F15=""),"",-SIN(RADIANS(2*30*EXP(-(((AX15-275)/25)^2))))*AZ15)</f>
        <v/>
      </c>
    </row>
    <row r="16">
      <c r="A16" s="7" t="n"/>
      <c r="B16" s="7" t="n"/>
      <c r="C16" s="7" t="n"/>
      <c r="D16" s="7" t="n"/>
      <c r="E16" s="7" t="n"/>
      <c r="F16" s="7" t="n"/>
      <c r="G16" s="8">
        <f>IF($C16="","",INDEX(Matrices!$G$2:$G$15,T16)*C16+INDEX(Matrices!$H$2:$H$15,T16)*D16+INDEX(Matrices!$I$2:$I$15,T16)*E16)</f>
        <v/>
      </c>
      <c r="H16" s="8">
        <f>IF($C16="","",INDEX(Matrices!$J$2:$J$15,T16)*C16+INDEX(Matrices!$K$2:$K$15,T16)*D16+INDEX(Matrices!$L$2:$L$15,T16)*E16)</f>
        <v/>
      </c>
      <c r="I16" s="8">
        <f>IF($C16="","",INDEX(Matrices!$M$2:$M$15,T16)*C16+INDEX(Matrices!$N$2:$N$15,T16)*D16+INDEX(Matrices!$O$2:$O$15,T16)*E16)</f>
        <v/>
      </c>
      <c r="J16" s="8">
        <f>IF($C16="","",W16)</f>
        <v/>
      </c>
      <c r="K16" s="8">
        <f>IF($C16="","",AC16*COS(RADIANS(V16)))</f>
        <v/>
      </c>
      <c r="L16" s="8">
        <f>IF($C16="","",AC16*SIN(RADIANS(V16)))</f>
        <v/>
      </c>
      <c r="M16" s="8">
        <f>IF($C16="","",116*AE16-16)</f>
        <v/>
      </c>
      <c r="N16" s="8">
        <f>IF($C16="","",500*(AD16-AE16))</f>
        <v/>
      </c>
      <c r="O16" s="8">
        <f>IF($C16="","",200*(AE16-AF16))</f>
        <v/>
      </c>
      <c r="P16" s="8">
        <f>IF(OR($C16="",F16=""),"",SQRT((J16-INDEX($J$6:$J$45,AG16))^2+(K16-INDEX($K$6:$K$45,AG16))^2+(L16-INDEX($L$6:$L$45,AG16))^2))</f>
        <v/>
      </c>
      <c r="Q16" s="8">
        <f>IF(OR($C16="",F16=""),"",SQRT((M16-INDEX($M$6:$M$45,AG16))^2+(N16-INDEX($N$6:$N$45,AG16))^2+(O16-INDEX($O$6:$O$45,AG16))^2))</f>
        <v/>
      </c>
      <c r="R16" s="8">
        <f>IF(OR($C16="",F16=""),"",SQRT(((AH16-M16)/BA16)^2+((AP16-AO16)/BB16)^2+(AT16/BC16)^2+BD16*((AP16-AO16)/BB16)*(AT16/BC16)))</f>
        <v/>
      </c>
      <c r="T16">
        <f>IF($C16="","",MATCH(B16,Matrices!$A$2:$A$15,0))</f>
        <v/>
      </c>
      <c r="U16">
        <f>IF($C16="","",SQRT(H16^2+I16^2))</f>
        <v/>
      </c>
      <c r="V16">
        <f>IF($C16="","",IF(U16=0,0,MOD(DEGREES(ATAN2(H16,I16)),360)))</f>
        <v/>
      </c>
      <c r="W16">
        <f>IF($C16="","",IF(G16/100&gt;(6/29)^3,(G16/100)^(1/3),(1/3)*(29/6)^2*G16/100+16/116)*116-16)</f>
        <v/>
      </c>
      <c r="X16">
        <f>IF($C16="","",EXP(0.026742553710937*(W16-51.576165618406904))/0.45888671875)</f>
        <v/>
      </c>
      <c r="Y16">
        <f>IF($C16="","",U16/X16)</f>
        <v/>
      </c>
      <c r="Z16">
        <f>IF($C16="","",IF(AND(V16&gt;1,V16&lt;181),SIN(RADIANS(V16-1))^3,0)+IF(AND(V16&gt;104,V16&lt;284),0.39*COS(RADIANS(V16-14))^2,0))</f>
        <v/>
      </c>
      <c r="AA16">
        <f>IF($C16="","",62*(Z16+0.31))</f>
        <v/>
      </c>
      <c r="AB16">
        <f>IF($C16="","",0.36*(Z16+0.19))</f>
        <v/>
      </c>
      <c r="AC16">
        <f>IF($C16="","",AA16*(LN(Y16/80+AB16)-LN(AB16)))</f>
        <v/>
      </c>
      <c r="AD16">
        <f>IF($C16="","",IF(C16/INDEX(Matrices!$D$2:$D$15,T16)&gt;0.008856,(C16/INDEX(Matrices!$D$2:$D$15,T16))^(1/3),7.787*C16/INDEX(Matrices!$D$2:$D$15,T16)+16/116))</f>
        <v/>
      </c>
      <c r="AE16">
        <f>IF($C16="","",IF(D16/INDEX(Matrices!$E$2:$E$15,T16)&gt;0.008856,(D16/INDEX(Matrices!$E$2:$E$15,T16))^(1/3),7.787*D16/INDEX(Matrices!$E$2:$E$15,T16)+16/116))</f>
        <v/>
      </c>
      <c r="AF16">
        <f>IF($C16="","",IF(E16/INDEX(Matrices!$F$2:$F$15,T16)&gt;0.008856,(E16/INDEX(Matrices!$F$2:$F$15,T16))^(1/3),7.787*E16/INDEX(Matrices!$F$2:$F$15,T16)+16/116))</f>
        <v/>
      </c>
      <c r="AG16">
        <f>IF(OR($C16="",F16=""),"",MATCH(F16,$A$6:$A$45,0))</f>
        <v/>
      </c>
      <c r="AH16">
        <f>IF(OR($C16="",F16=""),"",INDEX($M$6:$M$45,AG16))</f>
        <v/>
      </c>
      <c r="AI16">
        <f>IF(OR($C16="",F16=""),"",INDEX($N$6:$N$45,AG16))</f>
        <v/>
      </c>
      <c r="AJ16">
        <f>IF(OR($C16="",F16=""),"",INDEX($O$6:$O$45,AG16))</f>
        <v/>
      </c>
      <c r="AK16">
        <f>IF(OR($C16="",F16=""),"",(SQRT(N16^2+O16^2)+SQRT(AI16^2+AJ16^2))/2)</f>
        <v/>
      </c>
      <c r="AL16">
        <f>IF(OR($C16="",F16=""),"",0.5*(1-SQRT(AK16^7/(AK16^7+25^7))))</f>
        <v/>
      </c>
      <c r="AM16">
        <f>IF(OR($C16="",F16=""),"",(1+AL16)*N16)</f>
        <v/>
      </c>
      <c r="AN16">
        <f>IF(OR($C16="",F16=""),"",(1+AL16)*AI16)</f>
        <v/>
      </c>
      <c r="AO16">
        <f>IF(OR($C16="",F16=""),"",SQRT(AM16^2+O16^2))</f>
        <v/>
      </c>
      <c r="AP16">
        <f>IF(OR($C16="",F16=""),"",SQRT(AN16^2+AJ16^2))</f>
        <v/>
      </c>
      <c r="AQ16">
        <f>IF(OR($C16="",F16=""),"",IF(AO16=0,0,MOD(DEGREES(ATAN2(AM16,O16)),360)))</f>
        <v/>
      </c>
      <c r="AR16">
        <f>IF(OR($C16="",F16=""),"",IF(AP16=0,0,MOD(DEGREES(ATAN2(AN16,AJ16)),360)))</f>
        <v/>
      </c>
      <c r="AS16">
        <f>IF(OR($C16="",F16=""),"",IF(AO16*AP16=0,0,IF((AR16-AQ16)&gt;180,(AR16-AQ16)-360,IF((AR16-AQ16)&lt;-180,(AR16-AQ16)+360,(AR16-AQ16)))))</f>
        <v/>
      </c>
      <c r="AT16">
        <f>IF(OR($C16="",F16=""),"",2*SQRT(AO16*AP16)*SIN(RADIANS(AS16/2)))</f>
        <v/>
      </c>
      <c r="AU16">
        <f>IF(OR($C16="",F16=""),"",(M16+AH16)/2)</f>
        <v/>
      </c>
      <c r="AV16">
        <f>IF(OR($C16="",F16=""),"",(AO16+AP16)/2)</f>
        <v/>
      </c>
      <c r="AW16">
        <f>IF(OR($C16="",F16=""),"",AQ16+AR16)</f>
        <v/>
      </c>
      <c r="AX16">
        <f>IF(OR($C16="",F16=""),"",IF(AO16*AP16=0,AW16,IF(ABS(AQ16-AR16)&gt;180,IF(AW16&lt;360,(AW16+360)/2,(AW16-360)/2),AW16/2)))</f>
        <v/>
      </c>
      <c r="AY16">
        <f>IF(OR($C16="",F16=""),"",1-0.17*COS(RADIANS(AX16-30))+0.24*COS(RADIANS(2*AX16))+0.32*COS(RADIANS(3*AX16+6))-0.2*COS(RADIANS(4*AX16-63)))</f>
        <v/>
      </c>
      <c r="AZ16">
        <f>IF(OR($C16="",F16=""),"",2*SQRT(AV16^7/(AV16^7+25^7)))</f>
        <v/>
      </c>
      <c r="BA16">
        <f>IF(OR($C16="",F16=""),"",1+0.015*(AU16-50)^2/SQRT(20+(AU16-50)^2))</f>
        <v/>
      </c>
      <c r="BB16">
        <f>IF(OR($C16="",F16=""),"",1+0.045*AV16)</f>
        <v/>
      </c>
      <c r="BC16">
        <f>IF(OR($C16="",F16=""),"",1+0.015*AV16*AY16)</f>
        <v/>
      </c>
      <c r="BD16">
        <f>IF(OR($C16="",F16=""),"",-SIN(RADIANS(2*30*EXP(-(((AX16-275)/25)^2))))*AZ16)</f>
        <v/>
      </c>
    </row>
    <row r="17">
      <c r="A17" s="7" t="n"/>
      <c r="B17" s="7" t="n"/>
      <c r="C17" s="7" t="n"/>
      <c r="D17" s="7" t="n"/>
      <c r="E17" s="7" t="n"/>
      <c r="F17" s="7" t="n"/>
      <c r="G17" s="8">
        <f>IF($C17="","",INDEX(Matrices!$G$2:$G$15,T17)*C17+INDEX(Matrices!$H$2:$H$15,T17)*D17+INDEX(Matrices!$I$2:$I$15,T17)*E17)</f>
        <v/>
      </c>
      <c r="H17" s="8">
        <f>IF($C17="","",INDEX(Matrices!$J$2:$J$15,T17)*C17+INDEX(Matrices!$K$2:$K$15,T17)*D17+INDEX(Matrices!$L$2:$L$15,T17)*E17)</f>
        <v/>
      </c>
      <c r="I17" s="8">
        <f>IF($C17="","",INDEX(Matrices!$M$2:$M$15,T17)*C17+INDEX(Matrices!$N$2:$N$15,T17)*D17+INDEX(Matrices!$O$2:$O$15,T17)*E17)</f>
        <v/>
      </c>
      <c r="J17" s="8">
        <f>IF($C17="","",W17)</f>
        <v/>
      </c>
      <c r="K17" s="8">
        <f>IF($C17="","",AC17*COS(RADIANS(V17)))</f>
        <v/>
      </c>
      <c r="L17" s="8">
        <f>IF($C17="","",AC17*SIN(RADIANS(V17)))</f>
        <v/>
      </c>
      <c r="M17" s="8">
        <f>IF($C17="","",116*AE17-16)</f>
        <v/>
      </c>
      <c r="N17" s="8">
        <f>IF($C17="","",500*(AD17-AE17))</f>
        <v/>
      </c>
      <c r="O17" s="8">
        <f>IF($C17="","",200*(AE17-AF17))</f>
        <v/>
      </c>
      <c r="P17" s="8">
        <f>IF(OR($C17="",F17=""),"",SQRT((J17-INDEX($J$6:$J$45,AG17))^2+(K17-INDEX($K$6:$K$45,AG17))^2+(L17-INDEX($L$6:$L$45,AG17))^2))</f>
        <v/>
      </c>
      <c r="Q17" s="8">
        <f>IF(OR($C17="",F17=""),"",SQRT((M17-INDEX($M$6:$M$45,AG17))^2+(N17-INDEX($N$6:$N$45,AG17))^2+(O17-INDEX($O$6:$O$45,AG17))^2))</f>
        <v/>
      </c>
      <c r="R17" s="8">
        <f>IF(OR($C17="",F17=""),"",SQRT(((AH17-M17)/BA17)^2+((AP17-AO17)/BB17)^2+(AT17/BC17)^2+BD17*((AP17-AO17)/BB17)*(AT17/BC17)))</f>
        <v/>
      </c>
      <c r="T17">
        <f>IF($C17="","",MATCH(B17,Matrices!$A$2:$A$15,0))</f>
        <v/>
      </c>
      <c r="U17">
        <f>IF($C17="","",SQRT(H17^2+I17^2))</f>
        <v/>
      </c>
      <c r="V17">
        <f>IF($C17="","",IF(U17=0,0,MOD(DEGREES(ATAN2(H17,I17)),360)))</f>
        <v/>
      </c>
      <c r="W17">
        <f>IF($C17="","",IF(G17/100&gt;(6/29)^3,(G17/100)^(1/3),(1/3)*(29/6)^2*G17/100+16/116)*116-16)</f>
        <v/>
      </c>
      <c r="X17">
        <f>IF($C17="","",EXP(0.026742553710937*(W17-51.576165618406904))/0.45888671875)</f>
        <v/>
      </c>
      <c r="Y17">
        <f>IF($C17="","",U17/X17)</f>
        <v/>
      </c>
      <c r="Z17">
        <f>IF($C17="","",IF(AND(V17&gt;1,V17&lt;181),SIN(RADIANS(V17-1))^3,0)+IF(AND(V17&gt;104,V17&lt;284),0.39*COS(RADIANS(V17-14))^2,0))</f>
        <v/>
      </c>
      <c r="AA17">
        <f>IF($C17="","",62*(Z17+0.31))</f>
        <v/>
      </c>
      <c r="AB17">
        <f>IF($C17="","",0.36*(Z17+0.19))</f>
        <v/>
      </c>
      <c r="AC17">
        <f>IF($C17="","",AA17*(LN(Y17/80+AB17)-LN(AB17)))</f>
        <v/>
      </c>
      <c r="AD17">
        <f>IF($C17="","",IF(C17/INDEX(Matrices!$D$2:$D$15,T17)&gt;0.008856,(C17/INDEX(Matrices!$D$2:$D$15,T17))^(1/3),7.787*C17/INDEX(Matrices!$D$2:$D$15,T17)+16/116))</f>
        <v/>
      </c>
      <c r="AE17">
        <f>IF($C17="","",IF(D17/INDEX(Matrices!$E$2:$E$15,T17)&gt;0.008856,(D17/INDEX(Matrices!$E$2:$E$15,T17))^(1/3),7.787*D17/INDEX(Matrices!$E$2:$E$15,T17)+16/116))</f>
        <v/>
      </c>
      <c r="AF17">
        <f>IF($C17="","",IF(E17/INDEX(Matrices!$F$2:$F$15,T17)&gt;0.008856,(E17/INDEX(Matrices!$F$2:$F$15,T17))^(1/3),7.787*E17/INDEX(Matrices!$F$2:$F$15,T17)+16/116))</f>
        <v/>
      </c>
      <c r="AG17">
        <f>IF(OR($C17="",F17=""),"",MATCH(F17,$A$6:$A$45,0))</f>
        <v/>
      </c>
      <c r="AH17">
        <f>IF(OR($C17="",F17=""),"",INDEX($M$6:$M$45,AG17))</f>
        <v/>
      </c>
      <c r="AI17">
        <f>IF(OR($C17="",F17=""),"",INDEX($N$6:$N$45,AG17))</f>
        <v/>
      </c>
      <c r="AJ17">
        <f>IF(OR($C17="",F17=""),"",INDEX($O$6:$O$45,AG17))</f>
        <v/>
      </c>
      <c r="AK17">
        <f>IF(OR($C17="",F17=""),"",(SQRT(N17^2+O17^2)+SQRT(AI17^2+AJ17^2))/2)</f>
        <v/>
      </c>
      <c r="AL17">
        <f>IF(OR($C17="",F17=""),"",0.5*(1-SQRT(AK17^7/(AK17^7+25^7))))</f>
        <v/>
      </c>
      <c r="AM17">
        <f>IF(OR($C17="",F17=""),"",(1+AL17)*N17)</f>
        <v/>
      </c>
      <c r="AN17">
        <f>IF(OR($C17="",F17=""),"",(1+AL17)*AI17)</f>
        <v/>
      </c>
      <c r="AO17">
        <f>IF(OR($C17="",F17=""),"",SQRT(AM17^2+O17^2))</f>
        <v/>
      </c>
      <c r="AP17">
        <f>IF(OR($C17="",F17=""),"",SQRT(AN17^2+AJ17^2))</f>
        <v/>
      </c>
      <c r="AQ17">
        <f>IF(OR($C17="",F17=""),"",IF(AO17=0,0,MOD(DEGREES(ATAN2(AM17,O17)),360)))</f>
        <v/>
      </c>
      <c r="AR17">
        <f>IF(OR($C17="",F17=""),"",IF(AP17=0,0,MOD(DEGREES(ATAN2(AN17,AJ17)),360)))</f>
        <v/>
      </c>
      <c r="AS17">
        <f>IF(OR($C17="",F17=""),"",IF(AO17*AP17=0,0,IF((AR17-AQ17)&gt;180,(AR17-AQ17)-360,IF((AR17-AQ17)&lt;-180,(AR17-AQ17)+360,(AR17-AQ17)))))</f>
        <v/>
      </c>
      <c r="AT17">
        <f>IF(OR($C17="",F17=""),"",2*SQRT(AO17*AP17)*SIN(RADIANS(AS17/2)))</f>
        <v/>
      </c>
      <c r="AU17">
        <f>IF(OR($C17="",F17=""),"",(M17+AH17)/2)</f>
        <v/>
      </c>
      <c r="AV17">
        <f>IF(OR($C17="",F17=""),"",(AO17+AP17)/2)</f>
        <v/>
      </c>
      <c r="AW17">
        <f>IF(OR($C17="",F17=""),"",AQ17+AR17)</f>
        <v/>
      </c>
      <c r="AX17">
        <f>IF(OR($C17="",F17=""),"",IF(AO17*AP17=0,AW17,IF(ABS(AQ17-AR17)&gt;180,IF(AW17&lt;360,(AW17+360)/2,(AW17-360)/2),AW17/2)))</f>
        <v/>
      </c>
      <c r="AY17">
        <f>IF(OR($C17="",F17=""),"",1-0.17*COS(RADIANS(AX17-30))+0.24*COS(RADIANS(2*AX17))+0.32*COS(RADIANS(3*AX17+6))-0.2*COS(RADIANS(4*AX17-63)))</f>
        <v/>
      </c>
      <c r="AZ17">
        <f>IF(OR($C17="",F17=""),"",2*SQRT(AV17^7/(AV17^7+25^7)))</f>
        <v/>
      </c>
      <c r="BA17">
        <f>IF(OR($C17="",F17=""),"",1+0.015*(AU17-50)^2/SQRT(20+(AU17-50)^2))</f>
        <v/>
      </c>
      <c r="BB17">
        <f>IF(OR($C17="",F17=""),"",1+0.045*AV17)</f>
        <v/>
      </c>
      <c r="BC17">
        <f>IF(OR($C17="",F17=""),"",1+0.015*AV17*AY17)</f>
        <v/>
      </c>
      <c r="BD17">
        <f>IF(OR($C17="",F17=""),"",-SIN(RADIANS(2*30*EXP(-(((AX17-275)/25)^2))))*AZ17)</f>
        <v/>
      </c>
    </row>
    <row r="18">
      <c r="A18" s="7" t="n"/>
      <c r="B18" s="7" t="n"/>
      <c r="C18" s="7" t="n"/>
      <c r="D18" s="7" t="n"/>
      <c r="E18" s="7" t="n"/>
      <c r="F18" s="7" t="n"/>
      <c r="G18" s="8">
        <f>IF($C18="","",INDEX(Matrices!$G$2:$G$15,T18)*C18+INDEX(Matrices!$H$2:$H$15,T18)*D18+INDEX(Matrices!$I$2:$I$15,T18)*E18)</f>
        <v/>
      </c>
      <c r="H18" s="8">
        <f>IF($C18="","",INDEX(Matrices!$J$2:$J$15,T18)*C18+INDEX(Matrices!$K$2:$K$15,T18)*D18+INDEX(Matrices!$L$2:$L$15,T18)*E18)</f>
        <v/>
      </c>
      <c r="I18" s="8">
        <f>IF($C18="","",INDEX(Matrices!$M$2:$M$15,T18)*C18+INDEX(Matrices!$N$2:$N$15,T18)*D18+INDEX(Matrices!$O$2:$O$15,T18)*E18)</f>
        <v/>
      </c>
      <c r="J18" s="8">
        <f>IF($C18="","",W18)</f>
        <v/>
      </c>
      <c r="K18" s="8">
        <f>IF($C18="","",AC18*COS(RADIANS(V18)))</f>
        <v/>
      </c>
      <c r="L18" s="8">
        <f>IF($C18="","",AC18*SIN(RADIANS(V18)))</f>
        <v/>
      </c>
      <c r="M18" s="8">
        <f>IF($C18="","",116*AE18-16)</f>
        <v/>
      </c>
      <c r="N18" s="8">
        <f>IF($C18="","",500*(AD18-AE18))</f>
        <v/>
      </c>
      <c r="O18" s="8">
        <f>IF($C18="","",200*(AE18-AF18))</f>
        <v/>
      </c>
      <c r="P18" s="8">
        <f>IF(OR($C18="",F18=""),"",SQRT((J18-INDEX($J$6:$J$45,AG18))^2+(K18-INDEX($K$6:$K$45,AG18))^2+(L18-INDEX($L$6:$L$45,AG18))^2))</f>
        <v/>
      </c>
      <c r="Q18" s="8">
        <f>IF(OR($C18="",F18=""),"",SQRT((M18-INDEX($M$6:$M$45,AG18))^2+(N18-INDEX($N$6:$N$45,AG18))^2+(O18-INDEX($O$6:$O$45,AG18))^2))</f>
        <v/>
      </c>
      <c r="R18" s="8">
        <f>IF(OR($C18="",F18=""),"",SQRT(((AH18-M18)/BA18)^2+((AP18-AO18)/BB18)^2+(AT18/BC18)^2+BD18*((AP18-AO18)/BB18)*(AT18/BC18)))</f>
        <v/>
      </c>
      <c r="T18">
        <f>IF($C18="","",MATCH(B18,Matrices!$A$2:$A$15,0))</f>
        <v/>
      </c>
      <c r="U18">
        <f>IF($C18="","",SQRT(H18^2+I18^2))</f>
        <v/>
      </c>
      <c r="V18">
        <f>IF($C18="","",IF(U18=0,0,MOD(DEGREES(ATAN2(H18,I18)),360)))</f>
        <v/>
      </c>
      <c r="W18">
        <f>IF($C18="","",IF(G18/100&gt;(6/29)^3,(G18/100)^(1/3),(1/3)*(29/6)^2*G18/100+16/116)*116-16)</f>
        <v/>
      </c>
      <c r="X18">
        <f>IF($C18="","",EXP(0.026742553710937*(W18-51.576165618406904))/0.45888671875)</f>
        <v/>
      </c>
      <c r="Y18">
        <f>IF($C18="","",U18/X18)</f>
        <v/>
      </c>
      <c r="Z18">
        <f>IF($C18="","",IF(AND(V18&gt;1,V18&lt;181),SIN(RADIANS(V18-1))^3,0)+IF(AND(V18&gt;104,V18&lt;284),0.39*COS(RADIANS(V18-14))^2,0))</f>
        <v/>
      </c>
      <c r="AA18">
        <f>IF($C18="","",62*(Z18+0.31))</f>
        <v/>
      </c>
      <c r="AB18">
        <f>IF($C18="","",0.36*(Z18+0.19))</f>
        <v/>
      </c>
      <c r="AC18">
        <f>IF($C18="","",AA18*(LN(Y18/80+AB18)-LN(AB18)))</f>
        <v/>
      </c>
      <c r="AD18">
        <f>IF($C18="","",IF(C18/INDEX(Matrices!$D$2:$D$15,T18)&gt;0.008856,(C18/INDEX(Matrices!$D$2:$D$15,T18))^(1/3),7.787*C18/INDEX(Matrices!$D$2:$D$15,T18)+16/116))</f>
        <v/>
      </c>
      <c r="AE18">
        <f>IF($C18="","",IF(D18/INDEX(Matrices!$E$2:$E$15,T18)&gt;0.008856,(D18/INDEX(Matrices!$E$2:$E$15,T18))^(1/3),7.787*D18/INDEX(Matrices!$E$2:$E$15,T18)+16/116))</f>
        <v/>
      </c>
      <c r="AF18">
        <f>IF($C18="","",IF(E18/INDEX(Matrices!$F$2:$F$15,T18)&gt;0.008856,(E18/INDEX(Matrices!$F$2:$F$15,T18))^(1/3),7.787*E18/INDEX(Matrices!$F$2:$F$15,T18)+16/116))</f>
        <v/>
      </c>
      <c r="AG18">
        <f>IF(OR($C18="",F18=""),"",MATCH(F18,$A$6:$A$45,0))</f>
        <v/>
      </c>
      <c r="AH18">
        <f>IF(OR($C18="",F18=""),"",INDEX($M$6:$M$45,AG18))</f>
        <v/>
      </c>
      <c r="AI18">
        <f>IF(OR($C18="",F18=""),"",INDEX($N$6:$N$45,AG18))</f>
        <v/>
      </c>
      <c r="AJ18">
        <f>IF(OR($C18="",F18=""),"",INDEX($O$6:$O$45,AG18))</f>
        <v/>
      </c>
      <c r="AK18">
        <f>IF(OR($C18="",F18=""),"",(SQRT(N18^2+O18^2)+SQRT(AI18^2+AJ18^2))/2)</f>
        <v/>
      </c>
      <c r="AL18">
        <f>IF(OR($C18="",F18=""),"",0.5*(1-SQRT(AK18^7/(AK18^7+25^7))))</f>
        <v/>
      </c>
      <c r="AM18">
        <f>IF(OR($C18="",F18=""),"",(1+AL18)*N18)</f>
        <v/>
      </c>
      <c r="AN18">
        <f>IF(OR($C18="",F18=""),"",(1+AL18)*AI18)</f>
        <v/>
      </c>
      <c r="AO18">
        <f>IF(OR($C18="",F18=""),"",SQRT(AM18^2+O18^2))</f>
        <v/>
      </c>
      <c r="AP18">
        <f>IF(OR($C18="",F18=""),"",SQRT(AN18^2+AJ18^2))</f>
        <v/>
      </c>
      <c r="AQ18">
        <f>IF(OR($C18="",F18=""),"",IF(AO18=0,0,MOD(DEGREES(ATAN2(AM18,O18)),360)))</f>
        <v/>
      </c>
      <c r="AR18">
        <f>IF(OR($C18="",F18=""),"",IF(AP18=0,0,MOD(DEGREES(ATAN2(AN18,AJ18)),360)))</f>
        <v/>
      </c>
      <c r="AS18">
        <f>IF(OR($C18="",F18=""),"",IF(AO18*AP18=0,0,IF((AR18-AQ18)&gt;180,(AR18-AQ18)-360,IF((AR18-AQ18)&lt;-180,(AR18-AQ18)+360,(AR18-AQ18)))))</f>
        <v/>
      </c>
      <c r="AT18">
        <f>IF(OR($C18="",F18=""),"",2*SQRT(AO18*AP18)*SIN(RADIANS(AS18/2)))</f>
        <v/>
      </c>
      <c r="AU18">
        <f>IF(OR($C18="",F18=""),"",(M18+AH18)/2)</f>
        <v/>
      </c>
      <c r="AV18">
        <f>IF(OR($C18="",F18=""),"",(AO18+AP18)/2)</f>
        <v/>
      </c>
      <c r="AW18">
        <f>IF(OR($C18="",F18=""),"",AQ18+AR18)</f>
        <v/>
      </c>
      <c r="AX18">
        <f>IF(OR($C18="",F18=""),"",IF(AO18*AP18=0,AW18,IF(ABS(AQ18-AR18)&gt;180,IF(AW18&lt;360,(AW18+360)/2,(AW18-360)/2),AW18/2)))</f>
        <v/>
      </c>
      <c r="AY18">
        <f>IF(OR($C18="",F18=""),"",1-0.17*COS(RADIANS(AX18-30))+0.24*COS(RADIANS(2*AX18))+0.32*COS(RADIANS(3*AX18+6))-0.2*COS(RADIANS(4*AX18-63)))</f>
        <v/>
      </c>
      <c r="AZ18">
        <f>IF(OR($C18="",F18=""),"",2*SQRT(AV18^7/(AV18^7+25^7)))</f>
        <v/>
      </c>
      <c r="BA18">
        <f>IF(OR($C18="",F18=""),"",1+0.015*(AU18-50)^2/SQRT(20+(AU18-50)^2))</f>
        <v/>
      </c>
      <c r="BB18">
        <f>IF(OR($C18="",F18=""),"",1+0.045*AV18)</f>
        <v/>
      </c>
      <c r="BC18">
        <f>IF(OR($C18="",F18=""),"",1+0.015*AV18*AY18)</f>
        <v/>
      </c>
      <c r="BD18">
        <f>IF(OR($C18="",F18=""),"",-SIN(RADIANS(2*30*EXP(-(((AX18-275)/25)^2))))*AZ18)</f>
        <v/>
      </c>
    </row>
    <row r="19">
      <c r="A19" s="7" t="n"/>
      <c r="B19" s="7" t="n"/>
      <c r="C19" s="7" t="n"/>
      <c r="D19" s="7" t="n"/>
      <c r="E19" s="7" t="n"/>
      <c r="F19" s="7" t="n"/>
      <c r="G19" s="8">
        <f>IF($C19="","",INDEX(Matrices!$G$2:$G$15,T19)*C19+INDEX(Matrices!$H$2:$H$15,T19)*D19+INDEX(Matrices!$I$2:$I$15,T19)*E19)</f>
        <v/>
      </c>
      <c r="H19" s="8">
        <f>IF($C19="","",INDEX(Matrices!$J$2:$J$15,T19)*C19+INDEX(Matrices!$K$2:$K$15,T19)*D19+INDEX(Matrices!$L$2:$L$15,T19)*E19)</f>
        <v/>
      </c>
      <c r="I19" s="8">
        <f>IF($C19="","",INDEX(Matrices!$M$2:$M$15,T19)*C19+INDEX(Matrices!$N$2:$N$15,T19)*D19+INDEX(Matrices!$O$2:$O$15,T19)*E19)</f>
        <v/>
      </c>
      <c r="J19" s="8">
        <f>IF($C19="","",W19)</f>
        <v/>
      </c>
      <c r="K19" s="8">
        <f>IF($C19="","",AC19*COS(RADIANS(V19)))</f>
        <v/>
      </c>
      <c r="L19" s="8">
        <f>IF($C19="","",AC19*SIN(RADIANS(V19)))</f>
        <v/>
      </c>
      <c r="M19" s="8">
        <f>IF($C19="","",116*AE19-16)</f>
        <v/>
      </c>
      <c r="N19" s="8">
        <f>IF($C19="","",500*(AD19-AE19))</f>
        <v/>
      </c>
      <c r="O19" s="8">
        <f>IF($C19="","",200*(AE19-AF19))</f>
        <v/>
      </c>
      <c r="P19" s="8">
        <f>IF(OR($C19="",F19=""),"",SQRT((J19-INDEX($J$6:$J$45,AG19))^2+(K19-INDEX($K$6:$K$45,AG19))^2+(L19-INDEX($L$6:$L$45,AG19))^2))</f>
        <v/>
      </c>
      <c r="Q19" s="8">
        <f>IF(OR($C19="",F19=""),"",SQRT((M19-INDEX($M$6:$M$45,AG19))^2+(N19-INDEX($N$6:$N$45,AG19))^2+(O19-INDEX($O$6:$O$45,AG19))^2))</f>
        <v/>
      </c>
      <c r="R19" s="8">
        <f>IF(OR($C19="",F19=""),"",SQRT(((AH19-M19)/BA19)^2+((AP19-AO19)/BB19)^2+(AT19/BC19)^2+BD19*((AP19-AO19)/BB19)*(AT19/BC19)))</f>
        <v/>
      </c>
      <c r="T19">
        <f>IF($C19="","",MATCH(B19,Matrices!$A$2:$A$15,0))</f>
        <v/>
      </c>
      <c r="U19">
        <f>IF($C19="","",SQRT(H19^2+I19^2))</f>
        <v/>
      </c>
      <c r="V19">
        <f>IF($C19="","",IF(U19=0,0,MOD(DEGREES(ATAN2(H19,I19)),360)))</f>
        <v/>
      </c>
      <c r="W19">
        <f>IF($C19="","",IF(G19/100&gt;(6/29)^3,(G19/100)^(1/3),(1/3)*(29/6)^2*G19/100+16/116)*116-16)</f>
        <v/>
      </c>
      <c r="X19">
        <f>IF($C19="","",EXP(0.026742553710937*(W19-51.576165618406904))/0.45888671875)</f>
        <v/>
      </c>
      <c r="Y19">
        <f>IF($C19="","",U19/X19)</f>
        <v/>
      </c>
      <c r="Z19">
        <f>IF($C19="","",IF(AND(V19&gt;1,V19&lt;181),SIN(RADIANS(V19-1))^3,0)+IF(AND(V19&gt;104,V19&lt;284),0.39*COS(RADIANS(V19-14))^2,0))</f>
        <v/>
      </c>
      <c r="AA19">
        <f>IF($C19="","",62*(Z19+0.31))</f>
        <v/>
      </c>
      <c r="AB19">
        <f>IF($C19="","",0.36*(Z19+0.19))</f>
        <v/>
      </c>
      <c r="AC19">
        <f>IF($C19="","",AA19*(LN(Y19/80+AB19)-LN(AB19)))</f>
        <v/>
      </c>
      <c r="AD19">
        <f>IF($C19="","",IF(C19/INDEX(Matrices!$D$2:$D$15,T19)&gt;0.008856,(C19/INDEX(Matrices!$D$2:$D$15,T19))^(1/3),7.787*C19/INDEX(Matrices!$D$2:$D$15,T19)+16/116))</f>
        <v/>
      </c>
      <c r="AE19">
        <f>IF($C19="","",IF(D19/INDEX(Matrices!$E$2:$E$15,T19)&gt;0.008856,(D19/INDEX(Matrices!$E$2:$E$15,T19))^(1/3),7.787*D19/INDEX(Matrices!$E$2:$E$15,T19)+16/116))</f>
        <v/>
      </c>
      <c r="AF19">
        <f>IF($C19="","",IF(E19/INDEX(Matrices!$F$2:$F$15,T19)&gt;0.008856,(E19/INDEX(Matrices!$F$2:$F$15,T19))^(1/3),7.787*E19/INDEX(Matrices!$F$2:$F$15,T19)+16/116))</f>
        <v/>
      </c>
      <c r="AG19">
        <f>IF(OR($C19="",F19=""),"",MATCH(F19,$A$6:$A$45,0))</f>
        <v/>
      </c>
      <c r="AH19">
        <f>IF(OR($C19="",F19=""),"",INDEX($M$6:$M$45,AG19))</f>
        <v/>
      </c>
      <c r="AI19">
        <f>IF(OR($C19="",F19=""),"",INDEX($N$6:$N$45,AG19))</f>
        <v/>
      </c>
      <c r="AJ19">
        <f>IF(OR($C19="",F19=""),"",INDEX($O$6:$O$45,AG19))</f>
        <v/>
      </c>
      <c r="AK19">
        <f>IF(OR($C19="",F19=""),"",(SQRT(N19^2+O19^2)+SQRT(AI19^2+AJ19^2))/2)</f>
        <v/>
      </c>
      <c r="AL19">
        <f>IF(OR($C19="",F19=""),"",0.5*(1-SQRT(AK19^7/(AK19^7+25^7))))</f>
        <v/>
      </c>
      <c r="AM19">
        <f>IF(OR($C19="",F19=""),"",(1+AL19)*N19)</f>
        <v/>
      </c>
      <c r="AN19">
        <f>IF(OR($C19="",F19=""),"",(1+AL19)*AI19)</f>
        <v/>
      </c>
      <c r="AO19">
        <f>IF(OR($C19="",F19=""),"",SQRT(AM19^2+O19^2))</f>
        <v/>
      </c>
      <c r="AP19">
        <f>IF(OR($C19="",F19=""),"",SQRT(AN19^2+AJ19^2))</f>
        <v/>
      </c>
      <c r="AQ19">
        <f>IF(OR($C19="",F19=""),"",IF(AO19=0,0,MOD(DEGREES(ATAN2(AM19,O19)),360)))</f>
        <v/>
      </c>
      <c r="AR19">
        <f>IF(OR($C19="",F19=""),"",IF(AP19=0,0,MOD(DEGREES(ATAN2(AN19,AJ19)),360)))</f>
        <v/>
      </c>
      <c r="AS19">
        <f>IF(OR($C19="",F19=""),"",IF(AO19*AP19=0,0,IF((AR19-AQ19)&gt;180,(AR19-AQ19)-360,IF((AR19-AQ19)&lt;-180,(AR19-AQ19)+360,(AR19-AQ19)))))</f>
        <v/>
      </c>
      <c r="AT19">
        <f>IF(OR($C19="",F19=""),"",2*SQRT(AO19*AP19)*SIN(RADIANS(AS19/2)))</f>
        <v/>
      </c>
      <c r="AU19">
        <f>IF(OR($C19="",F19=""),"",(M19+AH19)/2)</f>
        <v/>
      </c>
      <c r="AV19">
        <f>IF(OR($C19="",F19=""),"",(AO19+AP19)/2)</f>
        <v/>
      </c>
      <c r="AW19">
        <f>IF(OR($C19="",F19=""),"",AQ19+AR19)</f>
        <v/>
      </c>
      <c r="AX19">
        <f>IF(OR($C19="",F19=""),"",IF(AO19*AP19=0,AW19,IF(ABS(AQ19-AR19)&gt;180,IF(AW19&lt;360,(AW19+360)/2,(AW19-360)/2),AW19/2)))</f>
        <v/>
      </c>
      <c r="AY19">
        <f>IF(OR($C19="",F19=""),"",1-0.17*COS(RADIANS(AX19-30))+0.24*COS(RADIANS(2*AX19))+0.32*COS(RADIANS(3*AX19+6))-0.2*COS(RADIANS(4*AX19-63)))</f>
        <v/>
      </c>
      <c r="AZ19">
        <f>IF(OR($C19="",F19=""),"",2*SQRT(AV19^7/(AV19^7+25^7)))</f>
        <v/>
      </c>
      <c r="BA19">
        <f>IF(OR($C19="",F19=""),"",1+0.015*(AU19-50)^2/SQRT(20+(AU19-50)^2))</f>
        <v/>
      </c>
      <c r="BB19">
        <f>IF(OR($C19="",F19=""),"",1+0.045*AV19)</f>
        <v/>
      </c>
      <c r="BC19">
        <f>IF(OR($C19="",F19=""),"",1+0.015*AV19*AY19)</f>
        <v/>
      </c>
      <c r="BD19">
        <f>IF(OR($C19="",F19=""),"",-SIN(RADIANS(2*30*EXP(-(((AX19-275)/25)^2))))*AZ19)</f>
        <v/>
      </c>
    </row>
    <row r="20">
      <c r="A20" s="7" t="n"/>
      <c r="B20" s="7" t="n"/>
      <c r="C20" s="7" t="n"/>
      <c r="D20" s="7" t="n"/>
      <c r="E20" s="7" t="n"/>
      <c r="F20" s="7" t="n"/>
      <c r="G20" s="8">
        <f>IF($C20="","",INDEX(Matrices!$G$2:$G$15,T20)*C20+INDEX(Matrices!$H$2:$H$15,T20)*D20+INDEX(Matrices!$I$2:$I$15,T20)*E20)</f>
        <v/>
      </c>
      <c r="H20" s="8">
        <f>IF($C20="","",INDEX(Matrices!$J$2:$J$15,T20)*C20+INDEX(Matrices!$K$2:$K$15,T20)*D20+INDEX(Matrices!$L$2:$L$15,T20)*E20)</f>
        <v/>
      </c>
      <c r="I20" s="8">
        <f>IF($C20="","",INDEX(Matrices!$M$2:$M$15,T20)*C20+INDEX(Matrices!$N$2:$N$15,T20)*D20+INDEX(Matrices!$O$2:$O$15,T20)*E20)</f>
        <v/>
      </c>
      <c r="J20" s="8">
        <f>IF($C20="","",W20)</f>
        <v/>
      </c>
      <c r="K20" s="8">
        <f>IF($C20="","",AC20*COS(RADIANS(V20)))</f>
        <v/>
      </c>
      <c r="L20" s="8">
        <f>IF($C20="","",AC20*SIN(RADIANS(V20)))</f>
        <v/>
      </c>
      <c r="M20" s="8">
        <f>IF($C20="","",116*AE20-16)</f>
        <v/>
      </c>
      <c r="N20" s="8">
        <f>IF($C20="","",500*(AD20-AE20))</f>
        <v/>
      </c>
      <c r="O20" s="8">
        <f>IF($C20="","",200*(AE20-AF20))</f>
        <v/>
      </c>
      <c r="P20" s="8">
        <f>IF(OR($C20="",F20=""),"",SQRT((J20-INDEX($J$6:$J$45,AG20))^2+(K20-INDEX($K$6:$K$45,AG20))^2+(L20-INDEX($L$6:$L$45,AG20))^2))</f>
        <v/>
      </c>
      <c r="Q20" s="8">
        <f>IF(OR($C20="",F20=""),"",SQRT((M20-INDEX($M$6:$M$45,AG20))^2+(N20-INDEX($N$6:$N$45,AG20))^2+(O20-INDEX($O$6:$O$45,AG20))^2))</f>
        <v/>
      </c>
      <c r="R20" s="8">
        <f>IF(OR($C20="",F20=""),"",SQRT(((AH20-M20)/BA20)^2+((AP20-AO20)/BB20)^2+(AT20/BC20)^2+BD20*((AP20-AO20)/BB20)*(AT20/BC20)))</f>
        <v/>
      </c>
      <c r="T20">
        <f>IF($C20="","",MATCH(B20,Matrices!$A$2:$A$15,0))</f>
        <v/>
      </c>
      <c r="U20">
        <f>IF($C20="","",SQRT(H20^2+I20^2))</f>
        <v/>
      </c>
      <c r="V20">
        <f>IF($C20="","",IF(U20=0,0,MOD(DEGREES(ATAN2(H20,I20)),360)))</f>
        <v/>
      </c>
      <c r="W20">
        <f>IF($C20="","",IF(G20/100&gt;(6/29)^3,(G20/100)^(1/3),(1/3)*(29/6)^2*G20/100+16/116)*116-16)</f>
        <v/>
      </c>
      <c r="X20">
        <f>IF($C20="","",EXP(0.026742553710937*(W20-51.576165618406904))/0.45888671875)</f>
        <v/>
      </c>
      <c r="Y20">
        <f>IF($C20="","",U20/X20)</f>
        <v/>
      </c>
      <c r="Z20">
        <f>IF($C20="","",IF(AND(V20&gt;1,V20&lt;181),SIN(RADIANS(V20-1))^3,0)+IF(AND(V20&gt;104,V20&lt;284),0.39*COS(RADIANS(V20-14))^2,0))</f>
        <v/>
      </c>
      <c r="AA20">
        <f>IF($C20="","",62*(Z20+0.31))</f>
        <v/>
      </c>
      <c r="AB20">
        <f>IF($C20="","",0.36*(Z20+0.19))</f>
        <v/>
      </c>
      <c r="AC20">
        <f>IF($C20="","",AA20*(LN(Y20/80+AB20)-LN(AB20)))</f>
        <v/>
      </c>
      <c r="AD20">
        <f>IF($C20="","",IF(C20/INDEX(Matrices!$D$2:$D$15,T20)&gt;0.008856,(C20/INDEX(Matrices!$D$2:$D$15,T20))^(1/3),7.787*C20/INDEX(Matrices!$D$2:$D$15,T20)+16/116))</f>
        <v/>
      </c>
      <c r="AE20">
        <f>IF($C20="","",IF(D20/INDEX(Matrices!$E$2:$E$15,T20)&gt;0.008856,(D20/INDEX(Matrices!$E$2:$E$15,T20))^(1/3),7.787*D20/INDEX(Matrices!$E$2:$E$15,T20)+16/116))</f>
        <v/>
      </c>
      <c r="AF20">
        <f>IF($C20="","",IF(E20/INDEX(Matrices!$F$2:$F$15,T20)&gt;0.008856,(E20/INDEX(Matrices!$F$2:$F$15,T20))^(1/3),7.787*E20/INDEX(Matrices!$F$2:$F$15,T20)+16/116))</f>
        <v/>
      </c>
      <c r="AG20">
        <f>IF(OR($C20="",F20=""),"",MATCH(F20,$A$6:$A$45,0))</f>
        <v/>
      </c>
      <c r="AH20">
        <f>IF(OR($C20="",F20=""),"",INDEX($M$6:$M$45,AG20))</f>
        <v/>
      </c>
      <c r="AI20">
        <f>IF(OR($C20="",F20=""),"",INDEX($N$6:$N$45,AG20))</f>
        <v/>
      </c>
      <c r="AJ20">
        <f>IF(OR($C20="",F20=""),"",INDEX($O$6:$O$45,AG20))</f>
        <v/>
      </c>
      <c r="AK20">
        <f>IF(OR($C20="",F20=""),"",(SQRT(N20^2+O20^2)+SQRT(AI20^2+AJ20^2))/2)</f>
        <v/>
      </c>
      <c r="AL20">
        <f>IF(OR($C20="",F20=""),"",0.5*(1-SQRT(AK20^7/(AK20^7+25^7))))</f>
        <v/>
      </c>
      <c r="AM20">
        <f>IF(OR($C20="",F20=""),"",(1+AL20)*N20)</f>
        <v/>
      </c>
      <c r="AN20">
        <f>IF(OR($C20="",F20=""),"",(1+AL20)*AI20)</f>
        <v/>
      </c>
      <c r="AO20">
        <f>IF(OR($C20="",F20=""),"",SQRT(AM20^2+O20^2))</f>
        <v/>
      </c>
      <c r="AP20">
        <f>IF(OR($C20="",F20=""),"",SQRT(AN20^2+AJ20^2))</f>
        <v/>
      </c>
      <c r="AQ20">
        <f>IF(OR($C20="",F20=""),"",IF(AO20=0,0,MOD(DEGREES(ATAN2(AM20,O20)),360)))</f>
        <v/>
      </c>
      <c r="AR20">
        <f>IF(OR($C20="",F20=""),"",IF(AP20=0,0,MOD(DEGREES(ATAN2(AN20,AJ20)),360)))</f>
        <v/>
      </c>
      <c r="AS20">
        <f>IF(OR($C20="",F20=""),"",IF(AO20*AP20=0,0,IF((AR20-AQ20)&gt;180,(AR20-AQ20)-360,IF((AR20-AQ20)&lt;-180,(AR20-AQ20)+360,(AR20-AQ20)))))</f>
        <v/>
      </c>
      <c r="AT20">
        <f>IF(OR($C20="",F20=""),"",2*SQRT(AO20*AP20)*SIN(RADIANS(AS20/2)))</f>
        <v/>
      </c>
      <c r="AU20">
        <f>IF(OR($C20="",F20=""),"",(M20+AH20)/2)</f>
        <v/>
      </c>
      <c r="AV20">
        <f>IF(OR($C20="",F20=""),"",(AO20+AP20)/2)</f>
        <v/>
      </c>
      <c r="AW20">
        <f>IF(OR($C20="",F20=""),"",AQ20+AR20)</f>
        <v/>
      </c>
      <c r="AX20">
        <f>IF(OR($C20="",F20=""),"",IF(AO20*AP20=0,AW20,IF(ABS(AQ20-AR20)&gt;180,IF(AW20&lt;360,(AW20+360)/2,(AW20-360)/2),AW20/2)))</f>
        <v/>
      </c>
      <c r="AY20">
        <f>IF(OR($C20="",F20=""),"",1-0.17*COS(RADIANS(AX20-30))+0.24*COS(RADIANS(2*AX20))+0.32*COS(RADIANS(3*AX20+6))-0.2*COS(RADIANS(4*AX20-63)))</f>
        <v/>
      </c>
      <c r="AZ20">
        <f>IF(OR($C20="",F20=""),"",2*SQRT(AV20^7/(AV20^7+25^7)))</f>
        <v/>
      </c>
      <c r="BA20">
        <f>IF(OR($C20="",F20=""),"",1+0.015*(AU20-50)^2/SQRT(20+(AU20-50)^2))</f>
        <v/>
      </c>
      <c r="BB20">
        <f>IF(OR($C20="",F20=""),"",1+0.045*AV20)</f>
        <v/>
      </c>
      <c r="BC20">
        <f>IF(OR($C20="",F20=""),"",1+0.015*AV20*AY20)</f>
        <v/>
      </c>
      <c r="BD20">
        <f>IF(OR($C20="",F20=""),"",-SIN(RADIANS(2*30*EXP(-(((AX20-275)/25)^2))))*AZ20)</f>
        <v/>
      </c>
    </row>
    <row r="21">
      <c r="A21" s="7" t="n"/>
      <c r="B21" s="7" t="n"/>
      <c r="C21" s="7" t="n"/>
      <c r="D21" s="7" t="n"/>
      <c r="E21" s="7" t="n"/>
      <c r="F21" s="7" t="n"/>
      <c r="G21" s="8">
        <f>IF($C21="","",INDEX(Matrices!$G$2:$G$15,T21)*C21+INDEX(Matrices!$H$2:$H$15,T21)*D21+INDEX(Matrices!$I$2:$I$15,T21)*E21)</f>
        <v/>
      </c>
      <c r="H21" s="8">
        <f>IF($C21="","",INDEX(Matrices!$J$2:$J$15,T21)*C21+INDEX(Matrices!$K$2:$K$15,T21)*D21+INDEX(Matrices!$L$2:$L$15,T21)*E21)</f>
        <v/>
      </c>
      <c r="I21" s="8">
        <f>IF($C21="","",INDEX(Matrices!$M$2:$M$15,T21)*C21+INDEX(Matrices!$N$2:$N$15,T21)*D21+INDEX(Matrices!$O$2:$O$15,T21)*E21)</f>
        <v/>
      </c>
      <c r="J21" s="8">
        <f>IF($C21="","",W21)</f>
        <v/>
      </c>
      <c r="K21" s="8">
        <f>IF($C21="","",AC21*COS(RADIANS(V21)))</f>
        <v/>
      </c>
      <c r="L21" s="8">
        <f>IF($C21="","",AC21*SIN(RADIANS(V21)))</f>
        <v/>
      </c>
      <c r="M21" s="8">
        <f>IF($C21="","",116*AE21-16)</f>
        <v/>
      </c>
      <c r="N21" s="8">
        <f>IF($C21="","",500*(AD21-AE21))</f>
        <v/>
      </c>
      <c r="O21" s="8">
        <f>IF($C21="","",200*(AE21-AF21))</f>
        <v/>
      </c>
      <c r="P21" s="8">
        <f>IF(OR($C21="",F21=""),"",SQRT((J21-INDEX($J$6:$J$45,AG21))^2+(K21-INDEX($K$6:$K$45,AG21))^2+(L21-INDEX($L$6:$L$45,AG21))^2))</f>
        <v/>
      </c>
      <c r="Q21" s="8">
        <f>IF(OR($C21="",F21=""),"",SQRT((M21-INDEX($M$6:$M$45,AG21))^2+(N21-INDEX($N$6:$N$45,AG21))^2+(O21-INDEX($O$6:$O$45,AG21))^2))</f>
        <v/>
      </c>
      <c r="R21" s="8">
        <f>IF(OR($C21="",F21=""),"",SQRT(((AH21-M21)/BA21)^2+((AP21-AO21)/BB21)^2+(AT21/BC21)^2+BD21*((AP21-AO21)/BB21)*(AT21/BC21)))</f>
        <v/>
      </c>
      <c r="T21">
        <f>IF($C21="","",MATCH(B21,Matrices!$A$2:$A$15,0))</f>
        <v/>
      </c>
      <c r="U21">
        <f>IF($C21="","",SQRT(H21^2+I21^2))</f>
        <v/>
      </c>
      <c r="V21">
        <f>IF($C21="","",IF(U21=0,0,MOD(DEGREES(ATAN2(H21,I21)),360)))</f>
        <v/>
      </c>
      <c r="W21">
        <f>IF($C21="","",IF(G21/100&gt;(6/29)^3,(G21/100)^(1/3),(1/3)*(29/6)^2*G21/100+16/116)*116-16)</f>
        <v/>
      </c>
      <c r="X21">
        <f>IF($C21="","",EXP(0.026742553710937*(W21-51.576165618406904))/0.45888671875)</f>
        <v/>
      </c>
      <c r="Y21">
        <f>IF($C21="","",U21/X21)</f>
        <v/>
      </c>
      <c r="Z21">
        <f>IF($C21="","",IF(AND(V21&gt;1,V21&lt;181),SIN(RADIANS(V21-1))^3,0)+IF(AND(V21&gt;104,V21&lt;284),0.39*COS(RADIANS(V21-14))^2,0))</f>
        <v/>
      </c>
      <c r="AA21">
        <f>IF($C21="","",62*(Z21+0.31))</f>
        <v/>
      </c>
      <c r="AB21">
        <f>IF($C21="","",0.36*(Z21+0.19))</f>
        <v/>
      </c>
      <c r="AC21">
        <f>IF($C21="","",AA21*(LN(Y21/80+AB21)-LN(AB21)))</f>
        <v/>
      </c>
      <c r="AD21">
        <f>IF($C21="","",IF(C21/INDEX(Matrices!$D$2:$D$15,T21)&gt;0.008856,(C21/INDEX(Matrices!$D$2:$D$15,T21))^(1/3),7.787*C21/INDEX(Matrices!$D$2:$D$15,T21)+16/116))</f>
        <v/>
      </c>
      <c r="AE21">
        <f>IF($C21="","",IF(D21/INDEX(Matrices!$E$2:$E$15,T21)&gt;0.008856,(D21/INDEX(Matrices!$E$2:$E$15,T21))^(1/3),7.787*D21/INDEX(Matrices!$E$2:$E$15,T21)+16/116))</f>
        <v/>
      </c>
      <c r="AF21">
        <f>IF($C21="","",IF(E21/INDEX(Matrices!$F$2:$F$15,T21)&gt;0.008856,(E21/INDEX(Matrices!$F$2:$F$15,T21))^(1/3),7.787*E21/INDEX(Matrices!$F$2:$F$15,T21)+16/116))</f>
        <v/>
      </c>
      <c r="AG21">
        <f>IF(OR($C21="",F21=""),"",MATCH(F21,$A$6:$A$45,0))</f>
        <v/>
      </c>
      <c r="AH21">
        <f>IF(OR($C21="",F21=""),"",INDEX($M$6:$M$45,AG21))</f>
        <v/>
      </c>
      <c r="AI21">
        <f>IF(OR($C21="",F21=""),"",INDEX($N$6:$N$45,AG21))</f>
        <v/>
      </c>
      <c r="AJ21">
        <f>IF(OR($C21="",F21=""),"",INDEX($O$6:$O$45,AG21))</f>
        <v/>
      </c>
      <c r="AK21">
        <f>IF(OR($C21="",F21=""),"",(SQRT(N21^2+O21^2)+SQRT(AI21^2+AJ21^2))/2)</f>
        <v/>
      </c>
      <c r="AL21">
        <f>IF(OR($C21="",F21=""),"",0.5*(1-SQRT(AK21^7/(AK21^7+25^7))))</f>
        <v/>
      </c>
      <c r="AM21">
        <f>IF(OR($C21="",F21=""),"",(1+AL21)*N21)</f>
        <v/>
      </c>
      <c r="AN21">
        <f>IF(OR($C21="",F21=""),"",(1+AL21)*AI21)</f>
        <v/>
      </c>
      <c r="AO21">
        <f>IF(OR($C21="",F21=""),"",SQRT(AM21^2+O21^2))</f>
        <v/>
      </c>
      <c r="AP21">
        <f>IF(OR($C21="",F21=""),"",SQRT(AN21^2+AJ21^2))</f>
        <v/>
      </c>
      <c r="AQ21">
        <f>IF(OR($C21="",F21=""),"",IF(AO21=0,0,MOD(DEGREES(ATAN2(AM21,O21)),360)))</f>
        <v/>
      </c>
      <c r="AR21">
        <f>IF(OR($C21="",F21=""),"",IF(AP21=0,0,MOD(DEGREES(ATAN2(AN21,AJ21)),360)))</f>
        <v/>
      </c>
      <c r="AS21">
        <f>IF(OR($C21="",F21=""),"",IF(AO21*AP21=0,0,IF((AR21-AQ21)&gt;180,(AR21-AQ21)-360,IF((AR21-AQ21)&lt;-180,(AR21-AQ21)+360,(AR21-AQ21)))))</f>
        <v/>
      </c>
      <c r="AT21">
        <f>IF(OR($C21="",F21=""),"",2*SQRT(AO21*AP21)*SIN(RADIANS(AS21/2)))</f>
        <v/>
      </c>
      <c r="AU21">
        <f>IF(OR($C21="",F21=""),"",(M21+AH21)/2)</f>
        <v/>
      </c>
      <c r="AV21">
        <f>IF(OR($C21="",F21=""),"",(AO21+AP21)/2)</f>
        <v/>
      </c>
      <c r="AW21">
        <f>IF(OR($C21="",F21=""),"",AQ21+AR21)</f>
        <v/>
      </c>
      <c r="AX21">
        <f>IF(OR($C21="",F21=""),"",IF(AO21*AP21=0,AW21,IF(ABS(AQ21-AR21)&gt;180,IF(AW21&lt;360,(AW21+360)/2,(AW21-360)/2),AW21/2)))</f>
        <v/>
      </c>
      <c r="AY21">
        <f>IF(OR($C21="",F21=""),"",1-0.17*COS(RADIANS(AX21-30))+0.24*COS(RADIANS(2*AX21))+0.32*COS(RADIANS(3*AX21+6))-0.2*COS(RADIANS(4*AX21-63)))</f>
        <v/>
      </c>
      <c r="AZ21">
        <f>IF(OR($C21="",F21=""),"",2*SQRT(AV21^7/(AV21^7+25^7)))</f>
        <v/>
      </c>
      <c r="BA21">
        <f>IF(OR($C21="",F21=""),"",1+0.015*(AU21-50)^2/SQRT(20+(AU21-50)^2))</f>
        <v/>
      </c>
      <c r="BB21">
        <f>IF(OR($C21="",F21=""),"",1+0.045*AV21)</f>
        <v/>
      </c>
      <c r="BC21">
        <f>IF(OR($C21="",F21=""),"",1+0.015*AV21*AY21)</f>
        <v/>
      </c>
      <c r="BD21">
        <f>IF(OR($C21="",F21=""),"",-SIN(RADIANS(2*30*EXP(-(((AX21-275)/25)^2))))*AZ21)</f>
        <v/>
      </c>
    </row>
    <row r="22">
      <c r="A22" s="7" t="n"/>
      <c r="B22" s="7" t="n"/>
      <c r="C22" s="7" t="n"/>
      <c r="D22" s="7" t="n"/>
      <c r="E22" s="7" t="n"/>
      <c r="F22" s="7" t="n"/>
      <c r="G22" s="8">
        <f>IF($C22="","",INDEX(Matrices!$G$2:$G$15,T22)*C22+INDEX(Matrices!$H$2:$H$15,T22)*D22+INDEX(Matrices!$I$2:$I$15,T22)*E22)</f>
        <v/>
      </c>
      <c r="H22" s="8">
        <f>IF($C22="","",INDEX(Matrices!$J$2:$J$15,T22)*C22+INDEX(Matrices!$K$2:$K$15,T22)*D22+INDEX(Matrices!$L$2:$L$15,T22)*E22)</f>
        <v/>
      </c>
      <c r="I22" s="8">
        <f>IF($C22="","",INDEX(Matrices!$M$2:$M$15,T22)*C22+INDEX(Matrices!$N$2:$N$15,T22)*D22+INDEX(Matrices!$O$2:$O$15,T22)*E22)</f>
        <v/>
      </c>
      <c r="J22" s="8">
        <f>IF($C22="","",W22)</f>
        <v/>
      </c>
      <c r="K22" s="8">
        <f>IF($C22="","",AC22*COS(RADIANS(V22)))</f>
        <v/>
      </c>
      <c r="L22" s="8">
        <f>IF($C22="","",AC22*SIN(RADIANS(V22)))</f>
        <v/>
      </c>
      <c r="M22" s="8">
        <f>IF($C22="","",116*AE22-16)</f>
        <v/>
      </c>
      <c r="N22" s="8">
        <f>IF($C22="","",500*(AD22-AE22))</f>
        <v/>
      </c>
      <c r="O22" s="8">
        <f>IF($C22="","",200*(AE22-AF22))</f>
        <v/>
      </c>
      <c r="P22" s="8">
        <f>IF(OR($C22="",F22=""),"",SQRT((J22-INDEX($J$6:$J$45,AG22))^2+(K22-INDEX($K$6:$K$45,AG22))^2+(L22-INDEX($L$6:$L$45,AG22))^2))</f>
        <v/>
      </c>
      <c r="Q22" s="8">
        <f>IF(OR($C22="",F22=""),"",SQRT((M22-INDEX($M$6:$M$45,AG22))^2+(N22-INDEX($N$6:$N$45,AG22))^2+(O22-INDEX($O$6:$O$45,AG22))^2))</f>
        <v/>
      </c>
      <c r="R22" s="8">
        <f>IF(OR($C22="",F22=""),"",SQRT(((AH22-M22)/BA22)^2+((AP22-AO22)/BB22)^2+(AT22/BC22)^2+BD22*((AP22-AO22)/BB22)*(AT22/BC22)))</f>
        <v/>
      </c>
      <c r="T22">
        <f>IF($C22="","",MATCH(B22,Matrices!$A$2:$A$15,0))</f>
        <v/>
      </c>
      <c r="U22">
        <f>IF($C22="","",SQRT(H22^2+I22^2))</f>
        <v/>
      </c>
      <c r="V22">
        <f>IF($C22="","",IF(U22=0,0,MOD(DEGREES(ATAN2(H22,I22)),360)))</f>
        <v/>
      </c>
      <c r="W22">
        <f>IF($C22="","",IF(G22/100&gt;(6/29)^3,(G22/100)^(1/3),(1/3)*(29/6)^2*G22/100+16/116)*116-16)</f>
        <v/>
      </c>
      <c r="X22">
        <f>IF($C22="","",EXP(0.026742553710937*(W22-51.576165618406904))/0.45888671875)</f>
        <v/>
      </c>
      <c r="Y22">
        <f>IF($C22="","",U22/X22)</f>
        <v/>
      </c>
      <c r="Z22">
        <f>IF($C22="","",IF(AND(V22&gt;1,V22&lt;181),SIN(RADIANS(V22-1))^3,0)+IF(AND(V22&gt;104,V22&lt;284),0.39*COS(RADIANS(V22-14))^2,0))</f>
        <v/>
      </c>
      <c r="AA22">
        <f>IF($C22="","",62*(Z22+0.31))</f>
        <v/>
      </c>
      <c r="AB22">
        <f>IF($C22="","",0.36*(Z22+0.19))</f>
        <v/>
      </c>
      <c r="AC22">
        <f>IF($C22="","",AA22*(LN(Y22/80+AB22)-LN(AB22)))</f>
        <v/>
      </c>
      <c r="AD22">
        <f>IF($C22="","",IF(C22/INDEX(Matrices!$D$2:$D$15,T22)&gt;0.008856,(C22/INDEX(Matrices!$D$2:$D$15,T22))^(1/3),7.787*C22/INDEX(Matrices!$D$2:$D$15,T22)+16/116))</f>
        <v/>
      </c>
      <c r="AE22">
        <f>IF($C22="","",IF(D22/INDEX(Matrices!$E$2:$E$15,T22)&gt;0.008856,(D22/INDEX(Matrices!$E$2:$E$15,T22))^(1/3),7.787*D22/INDEX(Matrices!$E$2:$E$15,T22)+16/116))</f>
        <v/>
      </c>
      <c r="AF22">
        <f>IF($C22="","",IF(E22/INDEX(Matrices!$F$2:$F$15,T22)&gt;0.008856,(E22/INDEX(Matrices!$F$2:$F$15,T22))^(1/3),7.787*E22/INDEX(Matrices!$F$2:$F$15,T22)+16/116))</f>
        <v/>
      </c>
      <c r="AG22">
        <f>IF(OR($C22="",F22=""),"",MATCH(F22,$A$6:$A$45,0))</f>
        <v/>
      </c>
      <c r="AH22">
        <f>IF(OR($C22="",F22=""),"",INDEX($M$6:$M$45,AG22))</f>
        <v/>
      </c>
      <c r="AI22">
        <f>IF(OR($C22="",F22=""),"",INDEX($N$6:$N$45,AG22))</f>
        <v/>
      </c>
      <c r="AJ22">
        <f>IF(OR($C22="",F22=""),"",INDEX($O$6:$O$45,AG22))</f>
        <v/>
      </c>
      <c r="AK22">
        <f>IF(OR($C22="",F22=""),"",(SQRT(N22^2+O22^2)+SQRT(AI22^2+AJ22^2))/2)</f>
        <v/>
      </c>
      <c r="AL22">
        <f>IF(OR($C22="",F22=""),"",0.5*(1-SQRT(AK22^7/(AK22^7+25^7))))</f>
        <v/>
      </c>
      <c r="AM22">
        <f>IF(OR($C22="",F22=""),"",(1+AL22)*N22)</f>
        <v/>
      </c>
      <c r="AN22">
        <f>IF(OR($C22="",F22=""),"",(1+AL22)*AI22)</f>
        <v/>
      </c>
      <c r="AO22">
        <f>IF(OR($C22="",F22=""),"",SQRT(AM22^2+O22^2))</f>
        <v/>
      </c>
      <c r="AP22">
        <f>IF(OR($C22="",F22=""),"",SQRT(AN22^2+AJ22^2))</f>
        <v/>
      </c>
      <c r="AQ22">
        <f>IF(OR($C22="",F22=""),"",IF(AO22=0,0,MOD(DEGREES(ATAN2(AM22,O22)),360)))</f>
        <v/>
      </c>
      <c r="AR22">
        <f>IF(OR($C22="",F22=""),"",IF(AP22=0,0,MOD(DEGREES(ATAN2(AN22,AJ22)),360)))</f>
        <v/>
      </c>
      <c r="AS22">
        <f>IF(OR($C22="",F22=""),"",IF(AO22*AP22=0,0,IF((AR22-AQ22)&gt;180,(AR22-AQ22)-360,IF((AR22-AQ22)&lt;-180,(AR22-AQ22)+360,(AR22-AQ22)))))</f>
        <v/>
      </c>
      <c r="AT22">
        <f>IF(OR($C22="",F22=""),"",2*SQRT(AO22*AP22)*SIN(RADIANS(AS22/2)))</f>
        <v/>
      </c>
      <c r="AU22">
        <f>IF(OR($C22="",F22=""),"",(M22+AH22)/2)</f>
        <v/>
      </c>
      <c r="AV22">
        <f>IF(OR($C22="",F22=""),"",(AO22+AP22)/2)</f>
        <v/>
      </c>
      <c r="AW22">
        <f>IF(OR($C22="",F22=""),"",AQ22+AR22)</f>
        <v/>
      </c>
      <c r="AX22">
        <f>IF(OR($C22="",F22=""),"",IF(AO22*AP22=0,AW22,IF(ABS(AQ22-AR22)&gt;180,IF(AW22&lt;360,(AW22+360)/2,(AW22-360)/2),AW22/2)))</f>
        <v/>
      </c>
      <c r="AY22">
        <f>IF(OR($C22="",F22=""),"",1-0.17*COS(RADIANS(AX22-30))+0.24*COS(RADIANS(2*AX22))+0.32*COS(RADIANS(3*AX22+6))-0.2*COS(RADIANS(4*AX22-63)))</f>
        <v/>
      </c>
      <c r="AZ22">
        <f>IF(OR($C22="",F22=""),"",2*SQRT(AV22^7/(AV22^7+25^7)))</f>
        <v/>
      </c>
      <c r="BA22">
        <f>IF(OR($C22="",F22=""),"",1+0.015*(AU22-50)^2/SQRT(20+(AU22-50)^2))</f>
        <v/>
      </c>
      <c r="BB22">
        <f>IF(OR($C22="",F22=""),"",1+0.045*AV22)</f>
        <v/>
      </c>
      <c r="BC22">
        <f>IF(OR($C22="",F22=""),"",1+0.015*AV22*AY22)</f>
        <v/>
      </c>
      <c r="BD22">
        <f>IF(OR($C22="",F22=""),"",-SIN(RADIANS(2*30*EXP(-(((AX22-275)/25)^2))))*AZ22)</f>
        <v/>
      </c>
    </row>
    <row r="23">
      <c r="A23" s="7" t="n"/>
      <c r="B23" s="7" t="n"/>
      <c r="C23" s="7" t="n"/>
      <c r="D23" s="7" t="n"/>
      <c r="E23" s="7" t="n"/>
      <c r="F23" s="7" t="n"/>
      <c r="G23" s="8">
        <f>IF($C23="","",INDEX(Matrices!$G$2:$G$15,T23)*C23+INDEX(Matrices!$H$2:$H$15,T23)*D23+INDEX(Matrices!$I$2:$I$15,T23)*E23)</f>
        <v/>
      </c>
      <c r="H23" s="8">
        <f>IF($C23="","",INDEX(Matrices!$J$2:$J$15,T23)*C23+INDEX(Matrices!$K$2:$K$15,T23)*D23+INDEX(Matrices!$L$2:$L$15,T23)*E23)</f>
        <v/>
      </c>
      <c r="I23" s="8">
        <f>IF($C23="","",INDEX(Matrices!$M$2:$M$15,T23)*C23+INDEX(Matrices!$N$2:$N$15,T23)*D23+INDEX(Matrices!$O$2:$O$15,T23)*E23)</f>
        <v/>
      </c>
      <c r="J23" s="8">
        <f>IF($C23="","",W23)</f>
        <v/>
      </c>
      <c r="K23" s="8">
        <f>IF($C23="","",AC23*COS(RADIANS(V23)))</f>
        <v/>
      </c>
      <c r="L23" s="8">
        <f>IF($C23="","",AC23*SIN(RADIANS(V23)))</f>
        <v/>
      </c>
      <c r="M23" s="8">
        <f>IF($C23="","",116*AE23-16)</f>
        <v/>
      </c>
      <c r="N23" s="8">
        <f>IF($C23="","",500*(AD23-AE23))</f>
        <v/>
      </c>
      <c r="O23" s="8">
        <f>IF($C23="","",200*(AE23-AF23))</f>
        <v/>
      </c>
      <c r="P23" s="8">
        <f>IF(OR($C23="",F23=""),"",SQRT((J23-INDEX($J$6:$J$45,AG23))^2+(K23-INDEX($K$6:$K$45,AG23))^2+(L23-INDEX($L$6:$L$45,AG23))^2))</f>
        <v/>
      </c>
      <c r="Q23" s="8">
        <f>IF(OR($C23="",F23=""),"",SQRT((M23-INDEX($M$6:$M$45,AG23))^2+(N23-INDEX($N$6:$N$45,AG23))^2+(O23-INDEX($O$6:$O$45,AG23))^2))</f>
        <v/>
      </c>
      <c r="R23" s="8">
        <f>IF(OR($C23="",F23=""),"",SQRT(((AH23-M23)/BA23)^2+((AP23-AO23)/BB23)^2+(AT23/BC23)^2+BD23*((AP23-AO23)/BB23)*(AT23/BC23)))</f>
        <v/>
      </c>
      <c r="T23">
        <f>IF($C23="","",MATCH(B23,Matrices!$A$2:$A$15,0))</f>
        <v/>
      </c>
      <c r="U23">
        <f>IF($C23="","",SQRT(H23^2+I23^2))</f>
        <v/>
      </c>
      <c r="V23">
        <f>IF($C23="","",IF(U23=0,0,MOD(DEGREES(ATAN2(H23,I23)),360)))</f>
        <v/>
      </c>
      <c r="W23">
        <f>IF($C23="","",IF(G23/100&gt;(6/29)^3,(G23/100)^(1/3),(1/3)*(29/6)^2*G23/100+16/116)*116-16)</f>
        <v/>
      </c>
      <c r="X23">
        <f>IF($C23="","",EXP(0.026742553710937*(W23-51.576165618406904))/0.45888671875)</f>
        <v/>
      </c>
      <c r="Y23">
        <f>IF($C23="","",U23/X23)</f>
        <v/>
      </c>
      <c r="Z23">
        <f>IF($C23="","",IF(AND(V23&gt;1,V23&lt;181),SIN(RADIANS(V23-1))^3,0)+IF(AND(V23&gt;104,V23&lt;284),0.39*COS(RADIANS(V23-14))^2,0))</f>
        <v/>
      </c>
      <c r="AA23">
        <f>IF($C23="","",62*(Z23+0.31))</f>
        <v/>
      </c>
      <c r="AB23">
        <f>IF($C23="","",0.36*(Z23+0.19))</f>
        <v/>
      </c>
      <c r="AC23">
        <f>IF($C23="","",AA23*(LN(Y23/80+AB23)-LN(AB23)))</f>
        <v/>
      </c>
      <c r="AD23">
        <f>IF($C23="","",IF(C23/INDEX(Matrices!$D$2:$D$15,T23)&gt;0.008856,(C23/INDEX(Matrices!$D$2:$D$15,T23))^(1/3),7.787*C23/INDEX(Matrices!$D$2:$D$15,T23)+16/116))</f>
        <v/>
      </c>
      <c r="AE23">
        <f>IF($C23="","",IF(D23/INDEX(Matrices!$E$2:$E$15,T23)&gt;0.008856,(D23/INDEX(Matrices!$E$2:$E$15,T23))^(1/3),7.787*D23/INDEX(Matrices!$E$2:$E$15,T23)+16/116))</f>
        <v/>
      </c>
      <c r="AF23">
        <f>IF($C23="","",IF(E23/INDEX(Matrices!$F$2:$F$15,T23)&gt;0.008856,(E23/INDEX(Matrices!$F$2:$F$15,T23))^(1/3),7.787*E23/INDEX(Matrices!$F$2:$F$15,T23)+16/116))</f>
        <v/>
      </c>
      <c r="AG23">
        <f>IF(OR($C23="",F23=""),"",MATCH(F23,$A$6:$A$45,0))</f>
        <v/>
      </c>
      <c r="AH23">
        <f>IF(OR($C23="",F23=""),"",INDEX($M$6:$M$45,AG23))</f>
        <v/>
      </c>
      <c r="AI23">
        <f>IF(OR($C23="",F23=""),"",INDEX($N$6:$N$45,AG23))</f>
        <v/>
      </c>
      <c r="AJ23">
        <f>IF(OR($C23="",F23=""),"",INDEX($O$6:$O$45,AG23))</f>
        <v/>
      </c>
      <c r="AK23">
        <f>IF(OR($C23="",F23=""),"",(SQRT(N23^2+O23^2)+SQRT(AI23^2+AJ23^2))/2)</f>
        <v/>
      </c>
      <c r="AL23">
        <f>IF(OR($C23="",F23=""),"",0.5*(1-SQRT(AK23^7/(AK23^7+25^7))))</f>
        <v/>
      </c>
      <c r="AM23">
        <f>IF(OR($C23="",F23=""),"",(1+AL23)*N23)</f>
        <v/>
      </c>
      <c r="AN23">
        <f>IF(OR($C23="",F23=""),"",(1+AL23)*AI23)</f>
        <v/>
      </c>
      <c r="AO23">
        <f>IF(OR($C23="",F23=""),"",SQRT(AM23^2+O23^2))</f>
        <v/>
      </c>
      <c r="AP23">
        <f>IF(OR($C23="",F23=""),"",SQRT(AN23^2+AJ23^2))</f>
        <v/>
      </c>
      <c r="AQ23">
        <f>IF(OR($C23="",F23=""),"",IF(AO23=0,0,MOD(DEGREES(ATAN2(AM23,O23)),360)))</f>
        <v/>
      </c>
      <c r="AR23">
        <f>IF(OR($C23="",F23=""),"",IF(AP23=0,0,MOD(DEGREES(ATAN2(AN23,AJ23)),360)))</f>
        <v/>
      </c>
      <c r="AS23">
        <f>IF(OR($C23="",F23=""),"",IF(AO23*AP23=0,0,IF((AR23-AQ23)&gt;180,(AR23-AQ23)-360,IF((AR23-AQ23)&lt;-180,(AR23-AQ23)+360,(AR23-AQ23)))))</f>
        <v/>
      </c>
      <c r="AT23">
        <f>IF(OR($C23="",F23=""),"",2*SQRT(AO23*AP23)*SIN(RADIANS(AS23/2)))</f>
        <v/>
      </c>
      <c r="AU23">
        <f>IF(OR($C23="",F23=""),"",(M23+AH23)/2)</f>
        <v/>
      </c>
      <c r="AV23">
        <f>IF(OR($C23="",F23=""),"",(AO23+AP23)/2)</f>
        <v/>
      </c>
      <c r="AW23">
        <f>IF(OR($C23="",F23=""),"",AQ23+AR23)</f>
        <v/>
      </c>
      <c r="AX23">
        <f>IF(OR($C23="",F23=""),"",IF(AO23*AP23=0,AW23,IF(ABS(AQ23-AR23)&gt;180,IF(AW23&lt;360,(AW23+360)/2,(AW23-360)/2),AW23/2)))</f>
        <v/>
      </c>
      <c r="AY23">
        <f>IF(OR($C23="",F23=""),"",1-0.17*COS(RADIANS(AX23-30))+0.24*COS(RADIANS(2*AX23))+0.32*COS(RADIANS(3*AX23+6))-0.2*COS(RADIANS(4*AX23-63)))</f>
        <v/>
      </c>
      <c r="AZ23">
        <f>IF(OR($C23="",F23=""),"",2*SQRT(AV23^7/(AV23^7+25^7)))</f>
        <v/>
      </c>
      <c r="BA23">
        <f>IF(OR($C23="",F23=""),"",1+0.015*(AU23-50)^2/SQRT(20+(AU23-50)^2))</f>
        <v/>
      </c>
      <c r="BB23">
        <f>IF(OR($C23="",F23=""),"",1+0.045*AV23)</f>
        <v/>
      </c>
      <c r="BC23">
        <f>IF(OR($C23="",F23=""),"",1+0.015*AV23*AY23)</f>
        <v/>
      </c>
      <c r="BD23">
        <f>IF(OR($C23="",F23=""),"",-SIN(RADIANS(2*30*EXP(-(((AX23-275)/25)^2))))*AZ23)</f>
        <v/>
      </c>
    </row>
    <row r="24">
      <c r="A24" s="7" t="n"/>
      <c r="B24" s="7" t="n"/>
      <c r="C24" s="7" t="n"/>
      <c r="D24" s="7" t="n"/>
      <c r="E24" s="7" t="n"/>
      <c r="F24" s="7" t="n"/>
      <c r="G24" s="8">
        <f>IF($C24="","",INDEX(Matrices!$G$2:$G$15,T24)*C24+INDEX(Matrices!$H$2:$H$15,T24)*D24+INDEX(Matrices!$I$2:$I$15,T24)*E24)</f>
        <v/>
      </c>
      <c r="H24" s="8">
        <f>IF($C24="","",INDEX(Matrices!$J$2:$J$15,T24)*C24+INDEX(Matrices!$K$2:$K$15,T24)*D24+INDEX(Matrices!$L$2:$L$15,T24)*E24)</f>
        <v/>
      </c>
      <c r="I24" s="8">
        <f>IF($C24="","",INDEX(Matrices!$M$2:$M$15,T24)*C24+INDEX(Matrices!$N$2:$N$15,T24)*D24+INDEX(Matrices!$O$2:$O$15,T24)*E24)</f>
        <v/>
      </c>
      <c r="J24" s="8">
        <f>IF($C24="","",W24)</f>
        <v/>
      </c>
      <c r="K24" s="8">
        <f>IF($C24="","",AC24*COS(RADIANS(V24)))</f>
        <v/>
      </c>
      <c r="L24" s="8">
        <f>IF($C24="","",AC24*SIN(RADIANS(V24)))</f>
        <v/>
      </c>
      <c r="M24" s="8">
        <f>IF($C24="","",116*AE24-16)</f>
        <v/>
      </c>
      <c r="N24" s="8">
        <f>IF($C24="","",500*(AD24-AE24))</f>
        <v/>
      </c>
      <c r="O24" s="8">
        <f>IF($C24="","",200*(AE24-AF24))</f>
        <v/>
      </c>
      <c r="P24" s="8">
        <f>IF(OR($C24="",F24=""),"",SQRT((J24-INDEX($J$6:$J$45,AG24))^2+(K24-INDEX($K$6:$K$45,AG24))^2+(L24-INDEX($L$6:$L$45,AG24))^2))</f>
        <v/>
      </c>
      <c r="Q24" s="8">
        <f>IF(OR($C24="",F24=""),"",SQRT((M24-INDEX($M$6:$M$45,AG24))^2+(N24-INDEX($N$6:$N$45,AG24))^2+(O24-INDEX($O$6:$O$45,AG24))^2))</f>
        <v/>
      </c>
      <c r="R24" s="8">
        <f>IF(OR($C24="",F24=""),"",SQRT(((AH24-M24)/BA24)^2+((AP24-AO24)/BB24)^2+(AT24/BC24)^2+BD24*((AP24-AO24)/BB24)*(AT24/BC24)))</f>
        <v/>
      </c>
      <c r="T24">
        <f>IF($C24="","",MATCH(B24,Matrices!$A$2:$A$15,0))</f>
        <v/>
      </c>
      <c r="U24">
        <f>IF($C24="","",SQRT(H24^2+I24^2))</f>
        <v/>
      </c>
      <c r="V24">
        <f>IF($C24="","",IF(U24=0,0,MOD(DEGREES(ATAN2(H24,I24)),360)))</f>
        <v/>
      </c>
      <c r="W24">
        <f>IF($C24="","",IF(G24/100&gt;(6/29)^3,(G24/100)^(1/3),(1/3)*(29/6)^2*G24/100+16/116)*116-16)</f>
        <v/>
      </c>
      <c r="X24">
        <f>IF($C24="","",EXP(0.026742553710937*(W24-51.576165618406904))/0.45888671875)</f>
        <v/>
      </c>
      <c r="Y24">
        <f>IF($C24="","",U24/X24)</f>
        <v/>
      </c>
      <c r="Z24">
        <f>IF($C24="","",IF(AND(V24&gt;1,V24&lt;181),SIN(RADIANS(V24-1))^3,0)+IF(AND(V24&gt;104,V24&lt;284),0.39*COS(RADIANS(V24-14))^2,0))</f>
        <v/>
      </c>
      <c r="AA24">
        <f>IF($C24="","",62*(Z24+0.31))</f>
        <v/>
      </c>
      <c r="AB24">
        <f>IF($C24="","",0.36*(Z24+0.19))</f>
        <v/>
      </c>
      <c r="AC24">
        <f>IF($C24="","",AA24*(LN(Y24/80+AB24)-LN(AB24)))</f>
        <v/>
      </c>
      <c r="AD24">
        <f>IF($C24="","",IF(C24/INDEX(Matrices!$D$2:$D$15,T24)&gt;0.008856,(C24/INDEX(Matrices!$D$2:$D$15,T24))^(1/3),7.787*C24/INDEX(Matrices!$D$2:$D$15,T24)+16/116))</f>
        <v/>
      </c>
      <c r="AE24">
        <f>IF($C24="","",IF(D24/INDEX(Matrices!$E$2:$E$15,T24)&gt;0.008856,(D24/INDEX(Matrices!$E$2:$E$15,T24))^(1/3),7.787*D24/INDEX(Matrices!$E$2:$E$15,T24)+16/116))</f>
        <v/>
      </c>
      <c r="AF24">
        <f>IF($C24="","",IF(E24/INDEX(Matrices!$F$2:$F$15,T24)&gt;0.008856,(E24/INDEX(Matrices!$F$2:$F$15,T24))^(1/3),7.787*E24/INDEX(Matrices!$F$2:$F$15,T24)+16/116))</f>
        <v/>
      </c>
      <c r="AG24">
        <f>IF(OR($C24="",F24=""),"",MATCH(F24,$A$6:$A$45,0))</f>
        <v/>
      </c>
      <c r="AH24">
        <f>IF(OR($C24="",F24=""),"",INDEX($M$6:$M$45,AG24))</f>
        <v/>
      </c>
      <c r="AI24">
        <f>IF(OR($C24="",F24=""),"",INDEX($N$6:$N$45,AG24))</f>
        <v/>
      </c>
      <c r="AJ24">
        <f>IF(OR($C24="",F24=""),"",INDEX($O$6:$O$45,AG24))</f>
        <v/>
      </c>
      <c r="AK24">
        <f>IF(OR($C24="",F24=""),"",(SQRT(N24^2+O24^2)+SQRT(AI24^2+AJ24^2))/2)</f>
        <v/>
      </c>
      <c r="AL24">
        <f>IF(OR($C24="",F24=""),"",0.5*(1-SQRT(AK24^7/(AK24^7+25^7))))</f>
        <v/>
      </c>
      <c r="AM24">
        <f>IF(OR($C24="",F24=""),"",(1+AL24)*N24)</f>
        <v/>
      </c>
      <c r="AN24">
        <f>IF(OR($C24="",F24=""),"",(1+AL24)*AI24)</f>
        <v/>
      </c>
      <c r="AO24">
        <f>IF(OR($C24="",F24=""),"",SQRT(AM24^2+O24^2))</f>
        <v/>
      </c>
      <c r="AP24">
        <f>IF(OR($C24="",F24=""),"",SQRT(AN24^2+AJ24^2))</f>
        <v/>
      </c>
      <c r="AQ24">
        <f>IF(OR($C24="",F24=""),"",IF(AO24=0,0,MOD(DEGREES(ATAN2(AM24,O24)),360)))</f>
        <v/>
      </c>
      <c r="AR24">
        <f>IF(OR($C24="",F24=""),"",IF(AP24=0,0,MOD(DEGREES(ATAN2(AN24,AJ24)),360)))</f>
        <v/>
      </c>
      <c r="AS24">
        <f>IF(OR($C24="",F24=""),"",IF(AO24*AP24=0,0,IF((AR24-AQ24)&gt;180,(AR24-AQ24)-360,IF((AR24-AQ24)&lt;-180,(AR24-AQ24)+360,(AR24-AQ24)))))</f>
        <v/>
      </c>
      <c r="AT24">
        <f>IF(OR($C24="",F24=""),"",2*SQRT(AO24*AP24)*SIN(RADIANS(AS24/2)))</f>
        <v/>
      </c>
      <c r="AU24">
        <f>IF(OR($C24="",F24=""),"",(M24+AH24)/2)</f>
        <v/>
      </c>
      <c r="AV24">
        <f>IF(OR($C24="",F24=""),"",(AO24+AP24)/2)</f>
        <v/>
      </c>
      <c r="AW24">
        <f>IF(OR($C24="",F24=""),"",AQ24+AR24)</f>
        <v/>
      </c>
      <c r="AX24">
        <f>IF(OR($C24="",F24=""),"",IF(AO24*AP24=0,AW24,IF(ABS(AQ24-AR24)&gt;180,IF(AW24&lt;360,(AW24+360)/2,(AW24-360)/2),AW24/2)))</f>
        <v/>
      </c>
      <c r="AY24">
        <f>IF(OR($C24="",F24=""),"",1-0.17*COS(RADIANS(AX24-30))+0.24*COS(RADIANS(2*AX24))+0.32*COS(RADIANS(3*AX24+6))-0.2*COS(RADIANS(4*AX24-63)))</f>
        <v/>
      </c>
      <c r="AZ24">
        <f>IF(OR($C24="",F24=""),"",2*SQRT(AV24^7/(AV24^7+25^7)))</f>
        <v/>
      </c>
      <c r="BA24">
        <f>IF(OR($C24="",F24=""),"",1+0.015*(AU24-50)^2/SQRT(20+(AU24-50)^2))</f>
        <v/>
      </c>
      <c r="BB24">
        <f>IF(OR($C24="",F24=""),"",1+0.045*AV24)</f>
        <v/>
      </c>
      <c r="BC24">
        <f>IF(OR($C24="",F24=""),"",1+0.015*AV24*AY24)</f>
        <v/>
      </c>
      <c r="BD24">
        <f>IF(OR($C24="",F24=""),"",-SIN(RADIANS(2*30*EXP(-(((AX24-275)/25)^2))))*AZ24)</f>
        <v/>
      </c>
    </row>
    <row r="25">
      <c r="A25" s="7" t="n"/>
      <c r="B25" s="7" t="n"/>
      <c r="C25" s="7" t="n"/>
      <c r="D25" s="7" t="n"/>
      <c r="E25" s="7" t="n"/>
      <c r="F25" s="7" t="n"/>
      <c r="G25" s="8">
        <f>IF($C25="","",INDEX(Matrices!$G$2:$G$15,T25)*C25+INDEX(Matrices!$H$2:$H$15,T25)*D25+INDEX(Matrices!$I$2:$I$15,T25)*E25)</f>
        <v/>
      </c>
      <c r="H25" s="8">
        <f>IF($C25="","",INDEX(Matrices!$J$2:$J$15,T25)*C25+INDEX(Matrices!$K$2:$K$15,T25)*D25+INDEX(Matrices!$L$2:$L$15,T25)*E25)</f>
        <v/>
      </c>
      <c r="I25" s="8">
        <f>IF($C25="","",INDEX(Matrices!$M$2:$M$15,T25)*C25+INDEX(Matrices!$N$2:$N$15,T25)*D25+INDEX(Matrices!$O$2:$O$15,T25)*E25)</f>
        <v/>
      </c>
      <c r="J25" s="8">
        <f>IF($C25="","",W25)</f>
        <v/>
      </c>
      <c r="K25" s="8">
        <f>IF($C25="","",AC25*COS(RADIANS(V25)))</f>
        <v/>
      </c>
      <c r="L25" s="8">
        <f>IF($C25="","",AC25*SIN(RADIANS(V25)))</f>
        <v/>
      </c>
      <c r="M25" s="8">
        <f>IF($C25="","",116*AE25-16)</f>
        <v/>
      </c>
      <c r="N25" s="8">
        <f>IF($C25="","",500*(AD25-AE25))</f>
        <v/>
      </c>
      <c r="O25" s="8">
        <f>IF($C25="","",200*(AE25-AF25))</f>
        <v/>
      </c>
      <c r="P25" s="8">
        <f>IF(OR($C25="",F25=""),"",SQRT((J25-INDEX($J$6:$J$45,AG25))^2+(K25-INDEX($K$6:$K$45,AG25))^2+(L25-INDEX($L$6:$L$45,AG25))^2))</f>
        <v/>
      </c>
      <c r="Q25" s="8">
        <f>IF(OR($C25="",F25=""),"",SQRT((M25-INDEX($M$6:$M$45,AG25))^2+(N25-INDEX($N$6:$N$45,AG25))^2+(O25-INDEX($O$6:$O$45,AG25))^2))</f>
        <v/>
      </c>
      <c r="R25" s="8">
        <f>IF(OR($C25="",F25=""),"",SQRT(((AH25-M25)/BA25)^2+((AP25-AO25)/BB25)^2+(AT25/BC25)^2+BD25*((AP25-AO25)/BB25)*(AT25/BC25)))</f>
        <v/>
      </c>
      <c r="T25">
        <f>IF($C25="","",MATCH(B25,Matrices!$A$2:$A$15,0))</f>
        <v/>
      </c>
      <c r="U25">
        <f>IF($C25="","",SQRT(H25^2+I25^2))</f>
        <v/>
      </c>
      <c r="V25">
        <f>IF($C25="","",IF(U25=0,0,MOD(DEGREES(ATAN2(H25,I25)),360)))</f>
        <v/>
      </c>
      <c r="W25">
        <f>IF($C25="","",IF(G25/100&gt;(6/29)^3,(G25/100)^(1/3),(1/3)*(29/6)^2*G25/100+16/116)*116-16)</f>
        <v/>
      </c>
      <c r="X25">
        <f>IF($C25="","",EXP(0.026742553710937*(W25-51.576165618406904))/0.45888671875)</f>
        <v/>
      </c>
      <c r="Y25">
        <f>IF($C25="","",U25/X25)</f>
        <v/>
      </c>
      <c r="Z25">
        <f>IF($C25="","",IF(AND(V25&gt;1,V25&lt;181),SIN(RADIANS(V25-1))^3,0)+IF(AND(V25&gt;104,V25&lt;284),0.39*COS(RADIANS(V25-14))^2,0))</f>
        <v/>
      </c>
      <c r="AA25">
        <f>IF($C25="","",62*(Z25+0.31))</f>
        <v/>
      </c>
      <c r="AB25">
        <f>IF($C25="","",0.36*(Z25+0.19))</f>
        <v/>
      </c>
      <c r="AC25">
        <f>IF($C25="","",AA25*(LN(Y25/80+AB25)-LN(AB25)))</f>
        <v/>
      </c>
      <c r="AD25">
        <f>IF($C25="","",IF(C25/INDEX(Matrices!$D$2:$D$15,T25)&gt;0.008856,(C25/INDEX(Matrices!$D$2:$D$15,T25))^(1/3),7.787*C25/INDEX(Matrices!$D$2:$D$15,T25)+16/116))</f>
        <v/>
      </c>
      <c r="AE25">
        <f>IF($C25="","",IF(D25/INDEX(Matrices!$E$2:$E$15,T25)&gt;0.008856,(D25/INDEX(Matrices!$E$2:$E$15,T25))^(1/3),7.787*D25/INDEX(Matrices!$E$2:$E$15,T25)+16/116))</f>
        <v/>
      </c>
      <c r="AF25">
        <f>IF($C25="","",IF(E25/INDEX(Matrices!$F$2:$F$15,T25)&gt;0.008856,(E25/INDEX(Matrices!$F$2:$F$15,T25))^(1/3),7.787*E25/INDEX(Matrices!$F$2:$F$15,T25)+16/116))</f>
        <v/>
      </c>
      <c r="AG25">
        <f>IF(OR($C25="",F25=""),"",MATCH(F25,$A$6:$A$45,0))</f>
        <v/>
      </c>
      <c r="AH25">
        <f>IF(OR($C25="",F25=""),"",INDEX($M$6:$M$45,AG25))</f>
        <v/>
      </c>
      <c r="AI25">
        <f>IF(OR($C25="",F25=""),"",INDEX($N$6:$N$45,AG25))</f>
        <v/>
      </c>
      <c r="AJ25">
        <f>IF(OR($C25="",F25=""),"",INDEX($O$6:$O$45,AG25))</f>
        <v/>
      </c>
      <c r="AK25">
        <f>IF(OR($C25="",F25=""),"",(SQRT(N25^2+O25^2)+SQRT(AI25^2+AJ25^2))/2)</f>
        <v/>
      </c>
      <c r="AL25">
        <f>IF(OR($C25="",F25=""),"",0.5*(1-SQRT(AK25^7/(AK25^7+25^7))))</f>
        <v/>
      </c>
      <c r="AM25">
        <f>IF(OR($C25="",F25=""),"",(1+AL25)*N25)</f>
        <v/>
      </c>
      <c r="AN25">
        <f>IF(OR($C25="",F25=""),"",(1+AL25)*AI25)</f>
        <v/>
      </c>
      <c r="AO25">
        <f>IF(OR($C25="",F25=""),"",SQRT(AM25^2+O25^2))</f>
        <v/>
      </c>
      <c r="AP25">
        <f>IF(OR($C25="",F25=""),"",SQRT(AN25^2+AJ25^2))</f>
        <v/>
      </c>
      <c r="AQ25">
        <f>IF(OR($C25="",F25=""),"",IF(AO25=0,0,MOD(DEGREES(ATAN2(AM25,O25)),360)))</f>
        <v/>
      </c>
      <c r="AR25">
        <f>IF(OR($C25="",F25=""),"",IF(AP25=0,0,MOD(DEGREES(ATAN2(AN25,AJ25)),360)))</f>
        <v/>
      </c>
      <c r="AS25">
        <f>IF(OR($C25="",F25=""),"",IF(AO25*AP25=0,0,IF((AR25-AQ25)&gt;180,(AR25-AQ25)-360,IF((AR25-AQ25)&lt;-180,(AR25-AQ25)+360,(AR25-AQ25)))))</f>
        <v/>
      </c>
      <c r="AT25">
        <f>IF(OR($C25="",F25=""),"",2*SQRT(AO25*AP25)*SIN(RADIANS(AS25/2)))</f>
        <v/>
      </c>
      <c r="AU25">
        <f>IF(OR($C25="",F25=""),"",(M25+AH25)/2)</f>
        <v/>
      </c>
      <c r="AV25">
        <f>IF(OR($C25="",F25=""),"",(AO25+AP25)/2)</f>
        <v/>
      </c>
      <c r="AW25">
        <f>IF(OR($C25="",F25=""),"",AQ25+AR25)</f>
        <v/>
      </c>
      <c r="AX25">
        <f>IF(OR($C25="",F25=""),"",IF(AO25*AP25=0,AW25,IF(ABS(AQ25-AR25)&gt;180,IF(AW25&lt;360,(AW25+360)/2,(AW25-360)/2),AW25/2)))</f>
        <v/>
      </c>
      <c r="AY25">
        <f>IF(OR($C25="",F25=""),"",1-0.17*COS(RADIANS(AX25-30))+0.24*COS(RADIANS(2*AX25))+0.32*COS(RADIANS(3*AX25+6))-0.2*COS(RADIANS(4*AX25-63)))</f>
        <v/>
      </c>
      <c r="AZ25">
        <f>IF(OR($C25="",F25=""),"",2*SQRT(AV25^7/(AV25^7+25^7)))</f>
        <v/>
      </c>
      <c r="BA25">
        <f>IF(OR($C25="",F25=""),"",1+0.015*(AU25-50)^2/SQRT(20+(AU25-50)^2))</f>
        <v/>
      </c>
      <c r="BB25">
        <f>IF(OR($C25="",F25=""),"",1+0.045*AV25)</f>
        <v/>
      </c>
      <c r="BC25">
        <f>IF(OR($C25="",F25=""),"",1+0.015*AV25*AY25)</f>
        <v/>
      </c>
      <c r="BD25">
        <f>IF(OR($C25="",F25=""),"",-SIN(RADIANS(2*30*EXP(-(((AX25-275)/25)^2))))*AZ25)</f>
        <v/>
      </c>
    </row>
    <row r="26">
      <c r="A26" s="7" t="n"/>
      <c r="B26" s="7" t="n"/>
      <c r="C26" s="7" t="n"/>
      <c r="D26" s="7" t="n"/>
      <c r="E26" s="7" t="n"/>
      <c r="F26" s="7" t="n"/>
      <c r="G26" s="8">
        <f>IF($C26="","",INDEX(Matrices!$G$2:$G$15,T26)*C26+INDEX(Matrices!$H$2:$H$15,T26)*D26+INDEX(Matrices!$I$2:$I$15,T26)*E26)</f>
        <v/>
      </c>
      <c r="H26" s="8">
        <f>IF($C26="","",INDEX(Matrices!$J$2:$J$15,T26)*C26+INDEX(Matrices!$K$2:$K$15,T26)*D26+INDEX(Matrices!$L$2:$L$15,T26)*E26)</f>
        <v/>
      </c>
      <c r="I26" s="8">
        <f>IF($C26="","",INDEX(Matrices!$M$2:$M$15,T26)*C26+INDEX(Matrices!$N$2:$N$15,T26)*D26+INDEX(Matrices!$O$2:$O$15,T26)*E26)</f>
        <v/>
      </c>
      <c r="J26" s="8">
        <f>IF($C26="","",W26)</f>
        <v/>
      </c>
      <c r="K26" s="8">
        <f>IF($C26="","",AC26*COS(RADIANS(V26)))</f>
        <v/>
      </c>
      <c r="L26" s="8">
        <f>IF($C26="","",AC26*SIN(RADIANS(V26)))</f>
        <v/>
      </c>
      <c r="M26" s="8">
        <f>IF($C26="","",116*AE26-16)</f>
        <v/>
      </c>
      <c r="N26" s="8">
        <f>IF($C26="","",500*(AD26-AE26))</f>
        <v/>
      </c>
      <c r="O26" s="8">
        <f>IF($C26="","",200*(AE26-AF26))</f>
        <v/>
      </c>
      <c r="P26" s="8">
        <f>IF(OR($C26="",F26=""),"",SQRT((J26-INDEX($J$6:$J$45,AG26))^2+(K26-INDEX($K$6:$K$45,AG26))^2+(L26-INDEX($L$6:$L$45,AG26))^2))</f>
        <v/>
      </c>
      <c r="Q26" s="8">
        <f>IF(OR($C26="",F26=""),"",SQRT((M26-INDEX($M$6:$M$45,AG26))^2+(N26-INDEX($N$6:$N$45,AG26))^2+(O26-INDEX($O$6:$O$45,AG26))^2))</f>
        <v/>
      </c>
      <c r="R26" s="8">
        <f>IF(OR($C26="",F26=""),"",SQRT(((AH26-M26)/BA26)^2+((AP26-AO26)/BB26)^2+(AT26/BC26)^2+BD26*((AP26-AO26)/BB26)*(AT26/BC26)))</f>
        <v/>
      </c>
      <c r="T26">
        <f>IF($C26="","",MATCH(B26,Matrices!$A$2:$A$15,0))</f>
        <v/>
      </c>
      <c r="U26">
        <f>IF($C26="","",SQRT(H26^2+I26^2))</f>
        <v/>
      </c>
      <c r="V26">
        <f>IF($C26="","",IF(U26=0,0,MOD(DEGREES(ATAN2(H26,I26)),360)))</f>
        <v/>
      </c>
      <c r="W26">
        <f>IF($C26="","",IF(G26/100&gt;(6/29)^3,(G26/100)^(1/3),(1/3)*(29/6)^2*G26/100+16/116)*116-16)</f>
        <v/>
      </c>
      <c r="X26">
        <f>IF($C26="","",EXP(0.026742553710937*(W26-51.576165618406904))/0.45888671875)</f>
        <v/>
      </c>
      <c r="Y26">
        <f>IF($C26="","",U26/X26)</f>
        <v/>
      </c>
      <c r="Z26">
        <f>IF($C26="","",IF(AND(V26&gt;1,V26&lt;181),SIN(RADIANS(V26-1))^3,0)+IF(AND(V26&gt;104,V26&lt;284),0.39*COS(RADIANS(V26-14))^2,0))</f>
        <v/>
      </c>
      <c r="AA26">
        <f>IF($C26="","",62*(Z26+0.31))</f>
        <v/>
      </c>
      <c r="AB26">
        <f>IF($C26="","",0.36*(Z26+0.19))</f>
        <v/>
      </c>
      <c r="AC26">
        <f>IF($C26="","",AA26*(LN(Y26/80+AB26)-LN(AB26)))</f>
        <v/>
      </c>
      <c r="AD26">
        <f>IF($C26="","",IF(C26/INDEX(Matrices!$D$2:$D$15,T26)&gt;0.008856,(C26/INDEX(Matrices!$D$2:$D$15,T26))^(1/3),7.787*C26/INDEX(Matrices!$D$2:$D$15,T26)+16/116))</f>
        <v/>
      </c>
      <c r="AE26">
        <f>IF($C26="","",IF(D26/INDEX(Matrices!$E$2:$E$15,T26)&gt;0.008856,(D26/INDEX(Matrices!$E$2:$E$15,T26))^(1/3),7.787*D26/INDEX(Matrices!$E$2:$E$15,T26)+16/116))</f>
        <v/>
      </c>
      <c r="AF26">
        <f>IF($C26="","",IF(E26/INDEX(Matrices!$F$2:$F$15,T26)&gt;0.008856,(E26/INDEX(Matrices!$F$2:$F$15,T26))^(1/3),7.787*E26/INDEX(Matrices!$F$2:$F$15,T26)+16/116))</f>
        <v/>
      </c>
      <c r="AG26">
        <f>IF(OR($C26="",F26=""),"",MATCH(F26,$A$6:$A$45,0))</f>
        <v/>
      </c>
      <c r="AH26">
        <f>IF(OR($C26="",F26=""),"",INDEX($M$6:$M$45,AG26))</f>
        <v/>
      </c>
      <c r="AI26">
        <f>IF(OR($C26="",F26=""),"",INDEX($N$6:$N$45,AG26))</f>
        <v/>
      </c>
      <c r="AJ26">
        <f>IF(OR($C26="",F26=""),"",INDEX($O$6:$O$45,AG26))</f>
        <v/>
      </c>
      <c r="AK26">
        <f>IF(OR($C26="",F26=""),"",(SQRT(N26^2+O26^2)+SQRT(AI26^2+AJ26^2))/2)</f>
        <v/>
      </c>
      <c r="AL26">
        <f>IF(OR($C26="",F26=""),"",0.5*(1-SQRT(AK26^7/(AK26^7+25^7))))</f>
        <v/>
      </c>
      <c r="AM26">
        <f>IF(OR($C26="",F26=""),"",(1+AL26)*N26)</f>
        <v/>
      </c>
      <c r="AN26">
        <f>IF(OR($C26="",F26=""),"",(1+AL26)*AI26)</f>
        <v/>
      </c>
      <c r="AO26">
        <f>IF(OR($C26="",F26=""),"",SQRT(AM26^2+O26^2))</f>
        <v/>
      </c>
      <c r="AP26">
        <f>IF(OR($C26="",F26=""),"",SQRT(AN26^2+AJ26^2))</f>
        <v/>
      </c>
      <c r="AQ26">
        <f>IF(OR($C26="",F26=""),"",IF(AO26=0,0,MOD(DEGREES(ATAN2(AM26,O26)),360)))</f>
        <v/>
      </c>
      <c r="AR26">
        <f>IF(OR($C26="",F26=""),"",IF(AP26=0,0,MOD(DEGREES(ATAN2(AN26,AJ26)),360)))</f>
        <v/>
      </c>
      <c r="AS26">
        <f>IF(OR($C26="",F26=""),"",IF(AO26*AP26=0,0,IF((AR26-AQ26)&gt;180,(AR26-AQ26)-360,IF((AR26-AQ26)&lt;-180,(AR26-AQ26)+360,(AR26-AQ26)))))</f>
        <v/>
      </c>
      <c r="AT26">
        <f>IF(OR($C26="",F26=""),"",2*SQRT(AO26*AP26)*SIN(RADIANS(AS26/2)))</f>
        <v/>
      </c>
      <c r="AU26">
        <f>IF(OR($C26="",F26=""),"",(M26+AH26)/2)</f>
        <v/>
      </c>
      <c r="AV26">
        <f>IF(OR($C26="",F26=""),"",(AO26+AP26)/2)</f>
        <v/>
      </c>
      <c r="AW26">
        <f>IF(OR($C26="",F26=""),"",AQ26+AR26)</f>
        <v/>
      </c>
      <c r="AX26">
        <f>IF(OR($C26="",F26=""),"",IF(AO26*AP26=0,AW26,IF(ABS(AQ26-AR26)&gt;180,IF(AW26&lt;360,(AW26+360)/2,(AW26-360)/2),AW26/2)))</f>
        <v/>
      </c>
      <c r="AY26">
        <f>IF(OR($C26="",F26=""),"",1-0.17*COS(RADIANS(AX26-30))+0.24*COS(RADIANS(2*AX26))+0.32*COS(RADIANS(3*AX26+6))-0.2*COS(RADIANS(4*AX26-63)))</f>
        <v/>
      </c>
      <c r="AZ26">
        <f>IF(OR($C26="",F26=""),"",2*SQRT(AV26^7/(AV26^7+25^7)))</f>
        <v/>
      </c>
      <c r="BA26">
        <f>IF(OR($C26="",F26=""),"",1+0.015*(AU26-50)^2/SQRT(20+(AU26-50)^2))</f>
        <v/>
      </c>
      <c r="BB26">
        <f>IF(OR($C26="",F26=""),"",1+0.045*AV26)</f>
        <v/>
      </c>
      <c r="BC26">
        <f>IF(OR($C26="",F26=""),"",1+0.015*AV26*AY26)</f>
        <v/>
      </c>
      <c r="BD26">
        <f>IF(OR($C26="",F26=""),"",-SIN(RADIANS(2*30*EXP(-(((AX26-275)/25)^2))))*AZ26)</f>
        <v/>
      </c>
    </row>
    <row r="27">
      <c r="A27" s="7" t="n"/>
      <c r="B27" s="7" t="n"/>
      <c r="C27" s="7" t="n"/>
      <c r="D27" s="7" t="n"/>
      <c r="E27" s="7" t="n"/>
      <c r="F27" s="7" t="n"/>
      <c r="G27" s="8">
        <f>IF($C27="","",INDEX(Matrices!$G$2:$G$15,T27)*C27+INDEX(Matrices!$H$2:$H$15,T27)*D27+INDEX(Matrices!$I$2:$I$15,T27)*E27)</f>
        <v/>
      </c>
      <c r="H27" s="8">
        <f>IF($C27="","",INDEX(Matrices!$J$2:$J$15,T27)*C27+INDEX(Matrices!$K$2:$K$15,T27)*D27+INDEX(Matrices!$L$2:$L$15,T27)*E27)</f>
        <v/>
      </c>
      <c r="I27" s="8">
        <f>IF($C27="","",INDEX(Matrices!$M$2:$M$15,T27)*C27+INDEX(Matrices!$N$2:$N$15,T27)*D27+INDEX(Matrices!$O$2:$O$15,T27)*E27)</f>
        <v/>
      </c>
      <c r="J27" s="8">
        <f>IF($C27="","",W27)</f>
        <v/>
      </c>
      <c r="K27" s="8">
        <f>IF($C27="","",AC27*COS(RADIANS(V27)))</f>
        <v/>
      </c>
      <c r="L27" s="8">
        <f>IF($C27="","",AC27*SIN(RADIANS(V27)))</f>
        <v/>
      </c>
      <c r="M27" s="8">
        <f>IF($C27="","",116*AE27-16)</f>
        <v/>
      </c>
      <c r="N27" s="8">
        <f>IF($C27="","",500*(AD27-AE27))</f>
        <v/>
      </c>
      <c r="O27" s="8">
        <f>IF($C27="","",200*(AE27-AF27))</f>
        <v/>
      </c>
      <c r="P27" s="8">
        <f>IF(OR($C27="",F27=""),"",SQRT((J27-INDEX($J$6:$J$45,AG27))^2+(K27-INDEX($K$6:$K$45,AG27))^2+(L27-INDEX($L$6:$L$45,AG27))^2))</f>
        <v/>
      </c>
      <c r="Q27" s="8">
        <f>IF(OR($C27="",F27=""),"",SQRT((M27-INDEX($M$6:$M$45,AG27))^2+(N27-INDEX($N$6:$N$45,AG27))^2+(O27-INDEX($O$6:$O$45,AG27))^2))</f>
        <v/>
      </c>
      <c r="R27" s="8">
        <f>IF(OR($C27="",F27=""),"",SQRT(((AH27-M27)/BA27)^2+((AP27-AO27)/BB27)^2+(AT27/BC27)^2+BD27*((AP27-AO27)/BB27)*(AT27/BC27)))</f>
        <v/>
      </c>
      <c r="T27">
        <f>IF($C27="","",MATCH(B27,Matrices!$A$2:$A$15,0))</f>
        <v/>
      </c>
      <c r="U27">
        <f>IF($C27="","",SQRT(H27^2+I27^2))</f>
        <v/>
      </c>
      <c r="V27">
        <f>IF($C27="","",IF(U27=0,0,MOD(DEGREES(ATAN2(H27,I27)),360)))</f>
        <v/>
      </c>
      <c r="W27">
        <f>IF($C27="","",IF(G27/100&gt;(6/29)^3,(G27/100)^(1/3),(1/3)*(29/6)^2*G27/100+16/116)*116-16)</f>
        <v/>
      </c>
      <c r="X27">
        <f>IF($C27="","",EXP(0.026742553710937*(W27-51.576165618406904))/0.45888671875)</f>
        <v/>
      </c>
      <c r="Y27">
        <f>IF($C27="","",U27/X27)</f>
        <v/>
      </c>
      <c r="Z27">
        <f>IF($C27="","",IF(AND(V27&gt;1,V27&lt;181),SIN(RADIANS(V27-1))^3,0)+IF(AND(V27&gt;104,V27&lt;284),0.39*COS(RADIANS(V27-14))^2,0))</f>
        <v/>
      </c>
      <c r="AA27">
        <f>IF($C27="","",62*(Z27+0.31))</f>
        <v/>
      </c>
      <c r="AB27">
        <f>IF($C27="","",0.36*(Z27+0.19))</f>
        <v/>
      </c>
      <c r="AC27">
        <f>IF($C27="","",AA27*(LN(Y27/80+AB27)-LN(AB27)))</f>
        <v/>
      </c>
      <c r="AD27">
        <f>IF($C27="","",IF(C27/INDEX(Matrices!$D$2:$D$15,T27)&gt;0.008856,(C27/INDEX(Matrices!$D$2:$D$15,T27))^(1/3),7.787*C27/INDEX(Matrices!$D$2:$D$15,T27)+16/116))</f>
        <v/>
      </c>
      <c r="AE27">
        <f>IF($C27="","",IF(D27/INDEX(Matrices!$E$2:$E$15,T27)&gt;0.008856,(D27/INDEX(Matrices!$E$2:$E$15,T27))^(1/3),7.787*D27/INDEX(Matrices!$E$2:$E$15,T27)+16/116))</f>
        <v/>
      </c>
      <c r="AF27">
        <f>IF($C27="","",IF(E27/INDEX(Matrices!$F$2:$F$15,T27)&gt;0.008856,(E27/INDEX(Matrices!$F$2:$F$15,T27))^(1/3),7.787*E27/INDEX(Matrices!$F$2:$F$15,T27)+16/116))</f>
        <v/>
      </c>
      <c r="AG27">
        <f>IF(OR($C27="",F27=""),"",MATCH(F27,$A$6:$A$45,0))</f>
        <v/>
      </c>
      <c r="AH27">
        <f>IF(OR($C27="",F27=""),"",INDEX($M$6:$M$45,AG27))</f>
        <v/>
      </c>
      <c r="AI27">
        <f>IF(OR($C27="",F27=""),"",INDEX($N$6:$N$45,AG27))</f>
        <v/>
      </c>
      <c r="AJ27">
        <f>IF(OR($C27="",F27=""),"",INDEX($O$6:$O$45,AG27))</f>
        <v/>
      </c>
      <c r="AK27">
        <f>IF(OR($C27="",F27=""),"",(SQRT(N27^2+O27^2)+SQRT(AI27^2+AJ27^2))/2)</f>
        <v/>
      </c>
      <c r="AL27">
        <f>IF(OR($C27="",F27=""),"",0.5*(1-SQRT(AK27^7/(AK27^7+25^7))))</f>
        <v/>
      </c>
      <c r="AM27">
        <f>IF(OR($C27="",F27=""),"",(1+AL27)*N27)</f>
        <v/>
      </c>
      <c r="AN27">
        <f>IF(OR($C27="",F27=""),"",(1+AL27)*AI27)</f>
        <v/>
      </c>
      <c r="AO27">
        <f>IF(OR($C27="",F27=""),"",SQRT(AM27^2+O27^2))</f>
        <v/>
      </c>
      <c r="AP27">
        <f>IF(OR($C27="",F27=""),"",SQRT(AN27^2+AJ27^2))</f>
        <v/>
      </c>
      <c r="AQ27">
        <f>IF(OR($C27="",F27=""),"",IF(AO27=0,0,MOD(DEGREES(ATAN2(AM27,O27)),360)))</f>
        <v/>
      </c>
      <c r="AR27">
        <f>IF(OR($C27="",F27=""),"",IF(AP27=0,0,MOD(DEGREES(ATAN2(AN27,AJ27)),360)))</f>
        <v/>
      </c>
      <c r="AS27">
        <f>IF(OR($C27="",F27=""),"",IF(AO27*AP27=0,0,IF((AR27-AQ27)&gt;180,(AR27-AQ27)-360,IF((AR27-AQ27)&lt;-180,(AR27-AQ27)+360,(AR27-AQ27)))))</f>
        <v/>
      </c>
      <c r="AT27">
        <f>IF(OR($C27="",F27=""),"",2*SQRT(AO27*AP27)*SIN(RADIANS(AS27/2)))</f>
        <v/>
      </c>
      <c r="AU27">
        <f>IF(OR($C27="",F27=""),"",(M27+AH27)/2)</f>
        <v/>
      </c>
      <c r="AV27">
        <f>IF(OR($C27="",F27=""),"",(AO27+AP27)/2)</f>
        <v/>
      </c>
      <c r="AW27">
        <f>IF(OR($C27="",F27=""),"",AQ27+AR27)</f>
        <v/>
      </c>
      <c r="AX27">
        <f>IF(OR($C27="",F27=""),"",IF(AO27*AP27=0,AW27,IF(ABS(AQ27-AR27)&gt;180,IF(AW27&lt;360,(AW27+360)/2,(AW27-360)/2),AW27/2)))</f>
        <v/>
      </c>
      <c r="AY27">
        <f>IF(OR($C27="",F27=""),"",1-0.17*COS(RADIANS(AX27-30))+0.24*COS(RADIANS(2*AX27))+0.32*COS(RADIANS(3*AX27+6))-0.2*COS(RADIANS(4*AX27-63)))</f>
        <v/>
      </c>
      <c r="AZ27">
        <f>IF(OR($C27="",F27=""),"",2*SQRT(AV27^7/(AV27^7+25^7)))</f>
        <v/>
      </c>
      <c r="BA27">
        <f>IF(OR($C27="",F27=""),"",1+0.015*(AU27-50)^2/SQRT(20+(AU27-50)^2))</f>
        <v/>
      </c>
      <c r="BB27">
        <f>IF(OR($C27="",F27=""),"",1+0.045*AV27)</f>
        <v/>
      </c>
      <c r="BC27">
        <f>IF(OR($C27="",F27=""),"",1+0.015*AV27*AY27)</f>
        <v/>
      </c>
      <c r="BD27">
        <f>IF(OR($C27="",F27=""),"",-SIN(RADIANS(2*30*EXP(-(((AX27-275)/25)^2))))*AZ27)</f>
        <v/>
      </c>
    </row>
    <row r="28">
      <c r="A28" s="7" t="n"/>
      <c r="B28" s="7" t="n"/>
      <c r="C28" s="7" t="n"/>
      <c r="D28" s="7" t="n"/>
      <c r="E28" s="7" t="n"/>
      <c r="F28" s="7" t="n"/>
      <c r="G28" s="8">
        <f>IF($C28="","",INDEX(Matrices!$G$2:$G$15,T28)*C28+INDEX(Matrices!$H$2:$H$15,T28)*D28+INDEX(Matrices!$I$2:$I$15,T28)*E28)</f>
        <v/>
      </c>
      <c r="H28" s="8">
        <f>IF($C28="","",INDEX(Matrices!$J$2:$J$15,T28)*C28+INDEX(Matrices!$K$2:$K$15,T28)*D28+INDEX(Matrices!$L$2:$L$15,T28)*E28)</f>
        <v/>
      </c>
      <c r="I28" s="8">
        <f>IF($C28="","",INDEX(Matrices!$M$2:$M$15,T28)*C28+INDEX(Matrices!$N$2:$N$15,T28)*D28+INDEX(Matrices!$O$2:$O$15,T28)*E28)</f>
        <v/>
      </c>
      <c r="J28" s="8">
        <f>IF($C28="","",W28)</f>
        <v/>
      </c>
      <c r="K28" s="8">
        <f>IF($C28="","",AC28*COS(RADIANS(V28)))</f>
        <v/>
      </c>
      <c r="L28" s="8">
        <f>IF($C28="","",AC28*SIN(RADIANS(V28)))</f>
        <v/>
      </c>
      <c r="M28" s="8">
        <f>IF($C28="","",116*AE28-16)</f>
        <v/>
      </c>
      <c r="N28" s="8">
        <f>IF($C28="","",500*(AD28-AE28))</f>
        <v/>
      </c>
      <c r="O28" s="8">
        <f>IF($C28="","",200*(AE28-AF28))</f>
        <v/>
      </c>
      <c r="P28" s="8">
        <f>IF(OR($C28="",F28=""),"",SQRT((J28-INDEX($J$6:$J$45,AG28))^2+(K28-INDEX($K$6:$K$45,AG28))^2+(L28-INDEX($L$6:$L$45,AG28))^2))</f>
        <v/>
      </c>
      <c r="Q28" s="8">
        <f>IF(OR($C28="",F28=""),"",SQRT((M28-INDEX($M$6:$M$45,AG28))^2+(N28-INDEX($N$6:$N$45,AG28))^2+(O28-INDEX($O$6:$O$45,AG28))^2))</f>
        <v/>
      </c>
      <c r="R28" s="8">
        <f>IF(OR($C28="",F28=""),"",SQRT(((AH28-M28)/BA28)^2+((AP28-AO28)/BB28)^2+(AT28/BC28)^2+BD28*((AP28-AO28)/BB28)*(AT28/BC28)))</f>
        <v/>
      </c>
      <c r="T28">
        <f>IF($C28="","",MATCH(B28,Matrices!$A$2:$A$15,0))</f>
        <v/>
      </c>
      <c r="U28">
        <f>IF($C28="","",SQRT(H28^2+I28^2))</f>
        <v/>
      </c>
      <c r="V28">
        <f>IF($C28="","",IF(U28=0,0,MOD(DEGREES(ATAN2(H28,I28)),360)))</f>
        <v/>
      </c>
      <c r="W28">
        <f>IF($C28="","",IF(G28/100&gt;(6/29)^3,(G28/100)^(1/3),(1/3)*(29/6)^2*G28/100+16/116)*116-16)</f>
        <v/>
      </c>
      <c r="X28">
        <f>IF($C28="","",EXP(0.026742553710937*(W28-51.576165618406904))/0.45888671875)</f>
        <v/>
      </c>
      <c r="Y28">
        <f>IF($C28="","",U28/X28)</f>
        <v/>
      </c>
      <c r="Z28">
        <f>IF($C28="","",IF(AND(V28&gt;1,V28&lt;181),SIN(RADIANS(V28-1))^3,0)+IF(AND(V28&gt;104,V28&lt;284),0.39*COS(RADIANS(V28-14))^2,0))</f>
        <v/>
      </c>
      <c r="AA28">
        <f>IF($C28="","",62*(Z28+0.31))</f>
        <v/>
      </c>
      <c r="AB28">
        <f>IF($C28="","",0.36*(Z28+0.19))</f>
        <v/>
      </c>
      <c r="AC28">
        <f>IF($C28="","",AA28*(LN(Y28/80+AB28)-LN(AB28)))</f>
        <v/>
      </c>
      <c r="AD28">
        <f>IF($C28="","",IF(C28/INDEX(Matrices!$D$2:$D$15,T28)&gt;0.008856,(C28/INDEX(Matrices!$D$2:$D$15,T28))^(1/3),7.787*C28/INDEX(Matrices!$D$2:$D$15,T28)+16/116))</f>
        <v/>
      </c>
      <c r="AE28">
        <f>IF($C28="","",IF(D28/INDEX(Matrices!$E$2:$E$15,T28)&gt;0.008856,(D28/INDEX(Matrices!$E$2:$E$15,T28))^(1/3),7.787*D28/INDEX(Matrices!$E$2:$E$15,T28)+16/116))</f>
        <v/>
      </c>
      <c r="AF28">
        <f>IF($C28="","",IF(E28/INDEX(Matrices!$F$2:$F$15,T28)&gt;0.008856,(E28/INDEX(Matrices!$F$2:$F$15,T28))^(1/3),7.787*E28/INDEX(Matrices!$F$2:$F$15,T28)+16/116))</f>
        <v/>
      </c>
      <c r="AG28">
        <f>IF(OR($C28="",F28=""),"",MATCH(F28,$A$6:$A$45,0))</f>
        <v/>
      </c>
      <c r="AH28">
        <f>IF(OR($C28="",F28=""),"",INDEX($M$6:$M$45,AG28))</f>
        <v/>
      </c>
      <c r="AI28">
        <f>IF(OR($C28="",F28=""),"",INDEX($N$6:$N$45,AG28))</f>
        <v/>
      </c>
      <c r="AJ28">
        <f>IF(OR($C28="",F28=""),"",INDEX($O$6:$O$45,AG28))</f>
        <v/>
      </c>
      <c r="AK28">
        <f>IF(OR($C28="",F28=""),"",(SQRT(N28^2+O28^2)+SQRT(AI28^2+AJ28^2))/2)</f>
        <v/>
      </c>
      <c r="AL28">
        <f>IF(OR($C28="",F28=""),"",0.5*(1-SQRT(AK28^7/(AK28^7+25^7))))</f>
        <v/>
      </c>
      <c r="AM28">
        <f>IF(OR($C28="",F28=""),"",(1+AL28)*N28)</f>
        <v/>
      </c>
      <c r="AN28">
        <f>IF(OR($C28="",F28=""),"",(1+AL28)*AI28)</f>
        <v/>
      </c>
      <c r="AO28">
        <f>IF(OR($C28="",F28=""),"",SQRT(AM28^2+O28^2))</f>
        <v/>
      </c>
      <c r="AP28">
        <f>IF(OR($C28="",F28=""),"",SQRT(AN28^2+AJ28^2))</f>
        <v/>
      </c>
      <c r="AQ28">
        <f>IF(OR($C28="",F28=""),"",IF(AO28=0,0,MOD(DEGREES(ATAN2(AM28,O28)),360)))</f>
        <v/>
      </c>
      <c r="AR28">
        <f>IF(OR($C28="",F28=""),"",IF(AP28=0,0,MOD(DEGREES(ATAN2(AN28,AJ28)),360)))</f>
        <v/>
      </c>
      <c r="AS28">
        <f>IF(OR($C28="",F28=""),"",IF(AO28*AP28=0,0,IF((AR28-AQ28)&gt;180,(AR28-AQ28)-360,IF((AR28-AQ28)&lt;-180,(AR28-AQ28)+360,(AR28-AQ28)))))</f>
        <v/>
      </c>
      <c r="AT28">
        <f>IF(OR($C28="",F28=""),"",2*SQRT(AO28*AP28)*SIN(RADIANS(AS28/2)))</f>
        <v/>
      </c>
      <c r="AU28">
        <f>IF(OR($C28="",F28=""),"",(M28+AH28)/2)</f>
        <v/>
      </c>
      <c r="AV28">
        <f>IF(OR($C28="",F28=""),"",(AO28+AP28)/2)</f>
        <v/>
      </c>
      <c r="AW28">
        <f>IF(OR($C28="",F28=""),"",AQ28+AR28)</f>
        <v/>
      </c>
      <c r="AX28">
        <f>IF(OR($C28="",F28=""),"",IF(AO28*AP28=0,AW28,IF(ABS(AQ28-AR28)&gt;180,IF(AW28&lt;360,(AW28+360)/2,(AW28-360)/2),AW28/2)))</f>
        <v/>
      </c>
      <c r="AY28">
        <f>IF(OR($C28="",F28=""),"",1-0.17*COS(RADIANS(AX28-30))+0.24*COS(RADIANS(2*AX28))+0.32*COS(RADIANS(3*AX28+6))-0.2*COS(RADIANS(4*AX28-63)))</f>
        <v/>
      </c>
      <c r="AZ28">
        <f>IF(OR($C28="",F28=""),"",2*SQRT(AV28^7/(AV28^7+25^7)))</f>
        <v/>
      </c>
      <c r="BA28">
        <f>IF(OR($C28="",F28=""),"",1+0.015*(AU28-50)^2/SQRT(20+(AU28-50)^2))</f>
        <v/>
      </c>
      <c r="BB28">
        <f>IF(OR($C28="",F28=""),"",1+0.045*AV28)</f>
        <v/>
      </c>
      <c r="BC28">
        <f>IF(OR($C28="",F28=""),"",1+0.015*AV28*AY28)</f>
        <v/>
      </c>
      <c r="BD28">
        <f>IF(OR($C28="",F28=""),"",-SIN(RADIANS(2*30*EXP(-(((AX28-275)/25)^2))))*AZ28)</f>
        <v/>
      </c>
    </row>
    <row r="29">
      <c r="A29" s="7" t="n"/>
      <c r="B29" s="7" t="n"/>
      <c r="C29" s="7" t="n"/>
      <c r="D29" s="7" t="n"/>
      <c r="E29" s="7" t="n"/>
      <c r="F29" s="7" t="n"/>
      <c r="G29" s="8">
        <f>IF($C29="","",INDEX(Matrices!$G$2:$G$15,T29)*C29+INDEX(Matrices!$H$2:$H$15,T29)*D29+INDEX(Matrices!$I$2:$I$15,T29)*E29)</f>
        <v/>
      </c>
      <c r="H29" s="8">
        <f>IF($C29="","",INDEX(Matrices!$J$2:$J$15,T29)*C29+INDEX(Matrices!$K$2:$K$15,T29)*D29+INDEX(Matrices!$L$2:$L$15,T29)*E29)</f>
        <v/>
      </c>
      <c r="I29" s="8">
        <f>IF($C29="","",INDEX(Matrices!$M$2:$M$15,T29)*C29+INDEX(Matrices!$N$2:$N$15,T29)*D29+INDEX(Matrices!$O$2:$O$15,T29)*E29)</f>
        <v/>
      </c>
      <c r="J29" s="8">
        <f>IF($C29="","",W29)</f>
        <v/>
      </c>
      <c r="K29" s="8">
        <f>IF($C29="","",AC29*COS(RADIANS(V29)))</f>
        <v/>
      </c>
      <c r="L29" s="8">
        <f>IF($C29="","",AC29*SIN(RADIANS(V29)))</f>
        <v/>
      </c>
      <c r="M29" s="8">
        <f>IF($C29="","",116*AE29-16)</f>
        <v/>
      </c>
      <c r="N29" s="8">
        <f>IF($C29="","",500*(AD29-AE29))</f>
        <v/>
      </c>
      <c r="O29" s="8">
        <f>IF($C29="","",200*(AE29-AF29))</f>
        <v/>
      </c>
      <c r="P29" s="8">
        <f>IF(OR($C29="",F29=""),"",SQRT((J29-INDEX($J$6:$J$45,AG29))^2+(K29-INDEX($K$6:$K$45,AG29))^2+(L29-INDEX($L$6:$L$45,AG29))^2))</f>
        <v/>
      </c>
      <c r="Q29" s="8">
        <f>IF(OR($C29="",F29=""),"",SQRT((M29-INDEX($M$6:$M$45,AG29))^2+(N29-INDEX($N$6:$N$45,AG29))^2+(O29-INDEX($O$6:$O$45,AG29))^2))</f>
        <v/>
      </c>
      <c r="R29" s="8">
        <f>IF(OR($C29="",F29=""),"",SQRT(((AH29-M29)/BA29)^2+((AP29-AO29)/BB29)^2+(AT29/BC29)^2+BD29*((AP29-AO29)/BB29)*(AT29/BC29)))</f>
        <v/>
      </c>
      <c r="T29">
        <f>IF($C29="","",MATCH(B29,Matrices!$A$2:$A$15,0))</f>
        <v/>
      </c>
      <c r="U29">
        <f>IF($C29="","",SQRT(H29^2+I29^2))</f>
        <v/>
      </c>
      <c r="V29">
        <f>IF($C29="","",IF(U29=0,0,MOD(DEGREES(ATAN2(H29,I29)),360)))</f>
        <v/>
      </c>
      <c r="W29">
        <f>IF($C29="","",IF(G29/100&gt;(6/29)^3,(G29/100)^(1/3),(1/3)*(29/6)^2*G29/100+16/116)*116-16)</f>
        <v/>
      </c>
      <c r="X29">
        <f>IF($C29="","",EXP(0.026742553710937*(W29-51.576165618406904))/0.45888671875)</f>
        <v/>
      </c>
      <c r="Y29">
        <f>IF($C29="","",U29/X29)</f>
        <v/>
      </c>
      <c r="Z29">
        <f>IF($C29="","",IF(AND(V29&gt;1,V29&lt;181),SIN(RADIANS(V29-1))^3,0)+IF(AND(V29&gt;104,V29&lt;284),0.39*COS(RADIANS(V29-14))^2,0))</f>
        <v/>
      </c>
      <c r="AA29">
        <f>IF($C29="","",62*(Z29+0.31))</f>
        <v/>
      </c>
      <c r="AB29">
        <f>IF($C29="","",0.36*(Z29+0.19))</f>
        <v/>
      </c>
      <c r="AC29">
        <f>IF($C29="","",AA29*(LN(Y29/80+AB29)-LN(AB29)))</f>
        <v/>
      </c>
      <c r="AD29">
        <f>IF($C29="","",IF(C29/INDEX(Matrices!$D$2:$D$15,T29)&gt;0.008856,(C29/INDEX(Matrices!$D$2:$D$15,T29))^(1/3),7.787*C29/INDEX(Matrices!$D$2:$D$15,T29)+16/116))</f>
        <v/>
      </c>
      <c r="AE29">
        <f>IF($C29="","",IF(D29/INDEX(Matrices!$E$2:$E$15,T29)&gt;0.008856,(D29/INDEX(Matrices!$E$2:$E$15,T29))^(1/3),7.787*D29/INDEX(Matrices!$E$2:$E$15,T29)+16/116))</f>
        <v/>
      </c>
      <c r="AF29">
        <f>IF($C29="","",IF(E29/INDEX(Matrices!$F$2:$F$15,T29)&gt;0.008856,(E29/INDEX(Matrices!$F$2:$F$15,T29))^(1/3),7.787*E29/INDEX(Matrices!$F$2:$F$15,T29)+16/116))</f>
        <v/>
      </c>
      <c r="AG29">
        <f>IF(OR($C29="",F29=""),"",MATCH(F29,$A$6:$A$45,0))</f>
        <v/>
      </c>
      <c r="AH29">
        <f>IF(OR($C29="",F29=""),"",INDEX($M$6:$M$45,AG29))</f>
        <v/>
      </c>
      <c r="AI29">
        <f>IF(OR($C29="",F29=""),"",INDEX($N$6:$N$45,AG29))</f>
        <v/>
      </c>
      <c r="AJ29">
        <f>IF(OR($C29="",F29=""),"",INDEX($O$6:$O$45,AG29))</f>
        <v/>
      </c>
      <c r="AK29">
        <f>IF(OR($C29="",F29=""),"",(SQRT(N29^2+O29^2)+SQRT(AI29^2+AJ29^2))/2)</f>
        <v/>
      </c>
      <c r="AL29">
        <f>IF(OR($C29="",F29=""),"",0.5*(1-SQRT(AK29^7/(AK29^7+25^7))))</f>
        <v/>
      </c>
      <c r="AM29">
        <f>IF(OR($C29="",F29=""),"",(1+AL29)*N29)</f>
        <v/>
      </c>
      <c r="AN29">
        <f>IF(OR($C29="",F29=""),"",(1+AL29)*AI29)</f>
        <v/>
      </c>
      <c r="AO29">
        <f>IF(OR($C29="",F29=""),"",SQRT(AM29^2+O29^2))</f>
        <v/>
      </c>
      <c r="AP29">
        <f>IF(OR($C29="",F29=""),"",SQRT(AN29^2+AJ29^2))</f>
        <v/>
      </c>
      <c r="AQ29">
        <f>IF(OR($C29="",F29=""),"",IF(AO29=0,0,MOD(DEGREES(ATAN2(AM29,O29)),360)))</f>
        <v/>
      </c>
      <c r="AR29">
        <f>IF(OR($C29="",F29=""),"",IF(AP29=0,0,MOD(DEGREES(ATAN2(AN29,AJ29)),360)))</f>
        <v/>
      </c>
      <c r="AS29">
        <f>IF(OR($C29="",F29=""),"",IF(AO29*AP29=0,0,IF((AR29-AQ29)&gt;180,(AR29-AQ29)-360,IF((AR29-AQ29)&lt;-180,(AR29-AQ29)+360,(AR29-AQ29)))))</f>
        <v/>
      </c>
      <c r="AT29">
        <f>IF(OR($C29="",F29=""),"",2*SQRT(AO29*AP29)*SIN(RADIANS(AS29/2)))</f>
        <v/>
      </c>
      <c r="AU29">
        <f>IF(OR($C29="",F29=""),"",(M29+AH29)/2)</f>
        <v/>
      </c>
      <c r="AV29">
        <f>IF(OR($C29="",F29=""),"",(AO29+AP29)/2)</f>
        <v/>
      </c>
      <c r="AW29">
        <f>IF(OR($C29="",F29=""),"",AQ29+AR29)</f>
        <v/>
      </c>
      <c r="AX29">
        <f>IF(OR($C29="",F29=""),"",IF(AO29*AP29=0,AW29,IF(ABS(AQ29-AR29)&gt;180,IF(AW29&lt;360,(AW29+360)/2,(AW29-360)/2),AW29/2)))</f>
        <v/>
      </c>
      <c r="AY29">
        <f>IF(OR($C29="",F29=""),"",1-0.17*COS(RADIANS(AX29-30))+0.24*COS(RADIANS(2*AX29))+0.32*COS(RADIANS(3*AX29+6))-0.2*COS(RADIANS(4*AX29-63)))</f>
        <v/>
      </c>
      <c r="AZ29">
        <f>IF(OR($C29="",F29=""),"",2*SQRT(AV29^7/(AV29^7+25^7)))</f>
        <v/>
      </c>
      <c r="BA29">
        <f>IF(OR($C29="",F29=""),"",1+0.015*(AU29-50)^2/SQRT(20+(AU29-50)^2))</f>
        <v/>
      </c>
      <c r="BB29">
        <f>IF(OR($C29="",F29=""),"",1+0.045*AV29)</f>
        <v/>
      </c>
      <c r="BC29">
        <f>IF(OR($C29="",F29=""),"",1+0.015*AV29*AY29)</f>
        <v/>
      </c>
      <c r="BD29">
        <f>IF(OR($C29="",F29=""),"",-SIN(RADIANS(2*30*EXP(-(((AX29-275)/25)^2))))*AZ29)</f>
        <v/>
      </c>
    </row>
    <row r="30">
      <c r="A30" s="7" t="n"/>
      <c r="B30" s="7" t="n"/>
      <c r="C30" s="7" t="n"/>
      <c r="D30" s="7" t="n"/>
      <c r="E30" s="7" t="n"/>
      <c r="F30" s="7" t="n"/>
      <c r="G30" s="8">
        <f>IF($C30="","",INDEX(Matrices!$G$2:$G$15,T30)*C30+INDEX(Matrices!$H$2:$H$15,T30)*D30+INDEX(Matrices!$I$2:$I$15,T30)*E30)</f>
        <v/>
      </c>
      <c r="H30" s="8">
        <f>IF($C30="","",INDEX(Matrices!$J$2:$J$15,T30)*C30+INDEX(Matrices!$K$2:$K$15,T30)*D30+INDEX(Matrices!$L$2:$L$15,T30)*E30)</f>
        <v/>
      </c>
      <c r="I30" s="8">
        <f>IF($C30="","",INDEX(Matrices!$M$2:$M$15,T30)*C30+INDEX(Matrices!$N$2:$N$15,T30)*D30+INDEX(Matrices!$O$2:$O$15,T30)*E30)</f>
        <v/>
      </c>
      <c r="J30" s="8">
        <f>IF($C30="","",W30)</f>
        <v/>
      </c>
      <c r="K30" s="8">
        <f>IF($C30="","",AC30*COS(RADIANS(V30)))</f>
        <v/>
      </c>
      <c r="L30" s="8">
        <f>IF($C30="","",AC30*SIN(RADIANS(V30)))</f>
        <v/>
      </c>
      <c r="M30" s="8">
        <f>IF($C30="","",116*AE30-16)</f>
        <v/>
      </c>
      <c r="N30" s="8">
        <f>IF($C30="","",500*(AD30-AE30))</f>
        <v/>
      </c>
      <c r="O30" s="8">
        <f>IF($C30="","",200*(AE30-AF30))</f>
        <v/>
      </c>
      <c r="P30" s="8">
        <f>IF(OR($C30="",F30=""),"",SQRT((J30-INDEX($J$6:$J$45,AG30))^2+(K30-INDEX($K$6:$K$45,AG30))^2+(L30-INDEX($L$6:$L$45,AG30))^2))</f>
        <v/>
      </c>
      <c r="Q30" s="8">
        <f>IF(OR($C30="",F30=""),"",SQRT((M30-INDEX($M$6:$M$45,AG30))^2+(N30-INDEX($N$6:$N$45,AG30))^2+(O30-INDEX($O$6:$O$45,AG30))^2))</f>
        <v/>
      </c>
      <c r="R30" s="8">
        <f>IF(OR($C30="",F30=""),"",SQRT(((AH30-M30)/BA30)^2+((AP30-AO30)/BB30)^2+(AT30/BC30)^2+BD30*((AP30-AO30)/BB30)*(AT30/BC30)))</f>
        <v/>
      </c>
      <c r="T30">
        <f>IF($C30="","",MATCH(B30,Matrices!$A$2:$A$15,0))</f>
        <v/>
      </c>
      <c r="U30">
        <f>IF($C30="","",SQRT(H30^2+I30^2))</f>
        <v/>
      </c>
      <c r="V30">
        <f>IF($C30="","",IF(U30=0,0,MOD(DEGREES(ATAN2(H30,I30)),360)))</f>
        <v/>
      </c>
      <c r="W30">
        <f>IF($C30="","",IF(G30/100&gt;(6/29)^3,(G30/100)^(1/3),(1/3)*(29/6)^2*G30/100+16/116)*116-16)</f>
        <v/>
      </c>
      <c r="X30">
        <f>IF($C30="","",EXP(0.026742553710937*(W30-51.576165618406904))/0.45888671875)</f>
        <v/>
      </c>
      <c r="Y30">
        <f>IF($C30="","",U30/X30)</f>
        <v/>
      </c>
      <c r="Z30">
        <f>IF($C30="","",IF(AND(V30&gt;1,V30&lt;181),SIN(RADIANS(V30-1))^3,0)+IF(AND(V30&gt;104,V30&lt;284),0.39*COS(RADIANS(V30-14))^2,0))</f>
        <v/>
      </c>
      <c r="AA30">
        <f>IF($C30="","",62*(Z30+0.31))</f>
        <v/>
      </c>
      <c r="AB30">
        <f>IF($C30="","",0.36*(Z30+0.19))</f>
        <v/>
      </c>
      <c r="AC30">
        <f>IF($C30="","",AA30*(LN(Y30/80+AB30)-LN(AB30)))</f>
        <v/>
      </c>
      <c r="AD30">
        <f>IF($C30="","",IF(C30/INDEX(Matrices!$D$2:$D$15,T30)&gt;0.008856,(C30/INDEX(Matrices!$D$2:$D$15,T30))^(1/3),7.787*C30/INDEX(Matrices!$D$2:$D$15,T30)+16/116))</f>
        <v/>
      </c>
      <c r="AE30">
        <f>IF($C30="","",IF(D30/INDEX(Matrices!$E$2:$E$15,T30)&gt;0.008856,(D30/INDEX(Matrices!$E$2:$E$15,T30))^(1/3),7.787*D30/INDEX(Matrices!$E$2:$E$15,T30)+16/116))</f>
        <v/>
      </c>
      <c r="AF30">
        <f>IF($C30="","",IF(E30/INDEX(Matrices!$F$2:$F$15,T30)&gt;0.008856,(E30/INDEX(Matrices!$F$2:$F$15,T30))^(1/3),7.787*E30/INDEX(Matrices!$F$2:$F$15,T30)+16/116))</f>
        <v/>
      </c>
      <c r="AG30">
        <f>IF(OR($C30="",F30=""),"",MATCH(F30,$A$6:$A$45,0))</f>
        <v/>
      </c>
      <c r="AH30">
        <f>IF(OR($C30="",F30=""),"",INDEX($M$6:$M$45,AG30))</f>
        <v/>
      </c>
      <c r="AI30">
        <f>IF(OR($C30="",F30=""),"",INDEX($N$6:$N$45,AG30))</f>
        <v/>
      </c>
      <c r="AJ30">
        <f>IF(OR($C30="",F30=""),"",INDEX($O$6:$O$45,AG30))</f>
        <v/>
      </c>
      <c r="AK30">
        <f>IF(OR($C30="",F30=""),"",(SQRT(N30^2+O30^2)+SQRT(AI30^2+AJ30^2))/2)</f>
        <v/>
      </c>
      <c r="AL30">
        <f>IF(OR($C30="",F30=""),"",0.5*(1-SQRT(AK30^7/(AK30^7+25^7))))</f>
        <v/>
      </c>
      <c r="AM30">
        <f>IF(OR($C30="",F30=""),"",(1+AL30)*N30)</f>
        <v/>
      </c>
      <c r="AN30">
        <f>IF(OR($C30="",F30=""),"",(1+AL30)*AI30)</f>
        <v/>
      </c>
      <c r="AO30">
        <f>IF(OR($C30="",F30=""),"",SQRT(AM30^2+O30^2))</f>
        <v/>
      </c>
      <c r="AP30">
        <f>IF(OR($C30="",F30=""),"",SQRT(AN30^2+AJ30^2))</f>
        <v/>
      </c>
      <c r="AQ30">
        <f>IF(OR($C30="",F30=""),"",IF(AO30=0,0,MOD(DEGREES(ATAN2(AM30,O30)),360)))</f>
        <v/>
      </c>
      <c r="AR30">
        <f>IF(OR($C30="",F30=""),"",IF(AP30=0,0,MOD(DEGREES(ATAN2(AN30,AJ30)),360)))</f>
        <v/>
      </c>
      <c r="AS30">
        <f>IF(OR($C30="",F30=""),"",IF(AO30*AP30=0,0,IF((AR30-AQ30)&gt;180,(AR30-AQ30)-360,IF((AR30-AQ30)&lt;-180,(AR30-AQ30)+360,(AR30-AQ30)))))</f>
        <v/>
      </c>
      <c r="AT30">
        <f>IF(OR($C30="",F30=""),"",2*SQRT(AO30*AP30)*SIN(RADIANS(AS30/2)))</f>
        <v/>
      </c>
      <c r="AU30">
        <f>IF(OR($C30="",F30=""),"",(M30+AH30)/2)</f>
        <v/>
      </c>
      <c r="AV30">
        <f>IF(OR($C30="",F30=""),"",(AO30+AP30)/2)</f>
        <v/>
      </c>
      <c r="AW30">
        <f>IF(OR($C30="",F30=""),"",AQ30+AR30)</f>
        <v/>
      </c>
      <c r="AX30">
        <f>IF(OR($C30="",F30=""),"",IF(AO30*AP30=0,AW30,IF(ABS(AQ30-AR30)&gt;180,IF(AW30&lt;360,(AW30+360)/2,(AW30-360)/2),AW30/2)))</f>
        <v/>
      </c>
      <c r="AY30">
        <f>IF(OR($C30="",F30=""),"",1-0.17*COS(RADIANS(AX30-30))+0.24*COS(RADIANS(2*AX30))+0.32*COS(RADIANS(3*AX30+6))-0.2*COS(RADIANS(4*AX30-63)))</f>
        <v/>
      </c>
      <c r="AZ30">
        <f>IF(OR($C30="",F30=""),"",2*SQRT(AV30^7/(AV30^7+25^7)))</f>
        <v/>
      </c>
      <c r="BA30">
        <f>IF(OR($C30="",F30=""),"",1+0.015*(AU30-50)^2/SQRT(20+(AU30-50)^2))</f>
        <v/>
      </c>
      <c r="BB30">
        <f>IF(OR($C30="",F30=""),"",1+0.045*AV30)</f>
        <v/>
      </c>
      <c r="BC30">
        <f>IF(OR($C30="",F30=""),"",1+0.015*AV30*AY30)</f>
        <v/>
      </c>
      <c r="BD30">
        <f>IF(OR($C30="",F30=""),"",-SIN(RADIANS(2*30*EXP(-(((AX30-275)/25)^2))))*AZ30)</f>
        <v/>
      </c>
    </row>
    <row r="31">
      <c r="A31" s="7" t="n"/>
      <c r="B31" s="7" t="n"/>
      <c r="C31" s="7" t="n"/>
      <c r="D31" s="7" t="n"/>
      <c r="E31" s="7" t="n"/>
      <c r="F31" s="7" t="n"/>
      <c r="G31" s="8">
        <f>IF($C31="","",INDEX(Matrices!$G$2:$G$15,T31)*C31+INDEX(Matrices!$H$2:$H$15,T31)*D31+INDEX(Matrices!$I$2:$I$15,T31)*E31)</f>
        <v/>
      </c>
      <c r="H31" s="8">
        <f>IF($C31="","",INDEX(Matrices!$J$2:$J$15,T31)*C31+INDEX(Matrices!$K$2:$K$15,T31)*D31+INDEX(Matrices!$L$2:$L$15,T31)*E31)</f>
        <v/>
      </c>
      <c r="I31" s="8">
        <f>IF($C31="","",INDEX(Matrices!$M$2:$M$15,T31)*C31+INDEX(Matrices!$N$2:$N$15,T31)*D31+INDEX(Matrices!$O$2:$O$15,T31)*E31)</f>
        <v/>
      </c>
      <c r="J31" s="8">
        <f>IF($C31="","",W31)</f>
        <v/>
      </c>
      <c r="K31" s="8">
        <f>IF($C31="","",AC31*COS(RADIANS(V31)))</f>
        <v/>
      </c>
      <c r="L31" s="8">
        <f>IF($C31="","",AC31*SIN(RADIANS(V31)))</f>
        <v/>
      </c>
      <c r="M31" s="8">
        <f>IF($C31="","",116*AE31-16)</f>
        <v/>
      </c>
      <c r="N31" s="8">
        <f>IF($C31="","",500*(AD31-AE31))</f>
        <v/>
      </c>
      <c r="O31" s="8">
        <f>IF($C31="","",200*(AE31-AF31))</f>
        <v/>
      </c>
      <c r="P31" s="8">
        <f>IF(OR($C31="",F31=""),"",SQRT((J31-INDEX($J$6:$J$45,AG31))^2+(K31-INDEX($K$6:$K$45,AG31))^2+(L31-INDEX($L$6:$L$45,AG31))^2))</f>
        <v/>
      </c>
      <c r="Q31" s="8">
        <f>IF(OR($C31="",F31=""),"",SQRT((M31-INDEX($M$6:$M$45,AG31))^2+(N31-INDEX($N$6:$N$45,AG31))^2+(O31-INDEX($O$6:$O$45,AG31))^2))</f>
        <v/>
      </c>
      <c r="R31" s="8">
        <f>IF(OR($C31="",F31=""),"",SQRT(((AH31-M31)/BA31)^2+((AP31-AO31)/BB31)^2+(AT31/BC31)^2+BD31*((AP31-AO31)/BB31)*(AT31/BC31)))</f>
        <v/>
      </c>
      <c r="T31">
        <f>IF($C31="","",MATCH(B31,Matrices!$A$2:$A$15,0))</f>
        <v/>
      </c>
      <c r="U31">
        <f>IF($C31="","",SQRT(H31^2+I31^2))</f>
        <v/>
      </c>
      <c r="V31">
        <f>IF($C31="","",IF(U31=0,0,MOD(DEGREES(ATAN2(H31,I31)),360)))</f>
        <v/>
      </c>
      <c r="W31">
        <f>IF($C31="","",IF(G31/100&gt;(6/29)^3,(G31/100)^(1/3),(1/3)*(29/6)^2*G31/100+16/116)*116-16)</f>
        <v/>
      </c>
      <c r="X31">
        <f>IF($C31="","",EXP(0.026742553710937*(W31-51.576165618406904))/0.45888671875)</f>
        <v/>
      </c>
      <c r="Y31">
        <f>IF($C31="","",U31/X31)</f>
        <v/>
      </c>
      <c r="Z31">
        <f>IF($C31="","",IF(AND(V31&gt;1,V31&lt;181),SIN(RADIANS(V31-1))^3,0)+IF(AND(V31&gt;104,V31&lt;284),0.39*COS(RADIANS(V31-14))^2,0))</f>
        <v/>
      </c>
      <c r="AA31">
        <f>IF($C31="","",62*(Z31+0.31))</f>
        <v/>
      </c>
      <c r="AB31">
        <f>IF($C31="","",0.36*(Z31+0.19))</f>
        <v/>
      </c>
      <c r="AC31">
        <f>IF($C31="","",AA31*(LN(Y31/80+AB31)-LN(AB31)))</f>
        <v/>
      </c>
      <c r="AD31">
        <f>IF($C31="","",IF(C31/INDEX(Matrices!$D$2:$D$15,T31)&gt;0.008856,(C31/INDEX(Matrices!$D$2:$D$15,T31))^(1/3),7.787*C31/INDEX(Matrices!$D$2:$D$15,T31)+16/116))</f>
        <v/>
      </c>
      <c r="AE31">
        <f>IF($C31="","",IF(D31/INDEX(Matrices!$E$2:$E$15,T31)&gt;0.008856,(D31/INDEX(Matrices!$E$2:$E$15,T31))^(1/3),7.787*D31/INDEX(Matrices!$E$2:$E$15,T31)+16/116))</f>
        <v/>
      </c>
      <c r="AF31">
        <f>IF($C31="","",IF(E31/INDEX(Matrices!$F$2:$F$15,T31)&gt;0.008856,(E31/INDEX(Matrices!$F$2:$F$15,T31))^(1/3),7.787*E31/INDEX(Matrices!$F$2:$F$15,T31)+16/116))</f>
        <v/>
      </c>
      <c r="AG31">
        <f>IF(OR($C31="",F31=""),"",MATCH(F31,$A$6:$A$45,0))</f>
        <v/>
      </c>
      <c r="AH31">
        <f>IF(OR($C31="",F31=""),"",INDEX($M$6:$M$45,AG31))</f>
        <v/>
      </c>
      <c r="AI31">
        <f>IF(OR($C31="",F31=""),"",INDEX($N$6:$N$45,AG31))</f>
        <v/>
      </c>
      <c r="AJ31">
        <f>IF(OR($C31="",F31=""),"",INDEX($O$6:$O$45,AG31))</f>
        <v/>
      </c>
      <c r="AK31">
        <f>IF(OR($C31="",F31=""),"",(SQRT(N31^2+O31^2)+SQRT(AI31^2+AJ31^2))/2)</f>
        <v/>
      </c>
      <c r="AL31">
        <f>IF(OR($C31="",F31=""),"",0.5*(1-SQRT(AK31^7/(AK31^7+25^7))))</f>
        <v/>
      </c>
      <c r="AM31">
        <f>IF(OR($C31="",F31=""),"",(1+AL31)*N31)</f>
        <v/>
      </c>
      <c r="AN31">
        <f>IF(OR($C31="",F31=""),"",(1+AL31)*AI31)</f>
        <v/>
      </c>
      <c r="AO31">
        <f>IF(OR($C31="",F31=""),"",SQRT(AM31^2+O31^2))</f>
        <v/>
      </c>
      <c r="AP31">
        <f>IF(OR($C31="",F31=""),"",SQRT(AN31^2+AJ31^2))</f>
        <v/>
      </c>
      <c r="AQ31">
        <f>IF(OR($C31="",F31=""),"",IF(AO31=0,0,MOD(DEGREES(ATAN2(AM31,O31)),360)))</f>
        <v/>
      </c>
      <c r="AR31">
        <f>IF(OR($C31="",F31=""),"",IF(AP31=0,0,MOD(DEGREES(ATAN2(AN31,AJ31)),360)))</f>
        <v/>
      </c>
      <c r="AS31">
        <f>IF(OR($C31="",F31=""),"",IF(AO31*AP31=0,0,IF((AR31-AQ31)&gt;180,(AR31-AQ31)-360,IF((AR31-AQ31)&lt;-180,(AR31-AQ31)+360,(AR31-AQ31)))))</f>
        <v/>
      </c>
      <c r="AT31">
        <f>IF(OR($C31="",F31=""),"",2*SQRT(AO31*AP31)*SIN(RADIANS(AS31/2)))</f>
        <v/>
      </c>
      <c r="AU31">
        <f>IF(OR($C31="",F31=""),"",(M31+AH31)/2)</f>
        <v/>
      </c>
      <c r="AV31">
        <f>IF(OR($C31="",F31=""),"",(AO31+AP31)/2)</f>
        <v/>
      </c>
      <c r="AW31">
        <f>IF(OR($C31="",F31=""),"",AQ31+AR31)</f>
        <v/>
      </c>
      <c r="AX31">
        <f>IF(OR($C31="",F31=""),"",IF(AO31*AP31=0,AW31,IF(ABS(AQ31-AR31)&gt;180,IF(AW31&lt;360,(AW31+360)/2,(AW31-360)/2),AW31/2)))</f>
        <v/>
      </c>
      <c r="AY31">
        <f>IF(OR($C31="",F31=""),"",1-0.17*COS(RADIANS(AX31-30))+0.24*COS(RADIANS(2*AX31))+0.32*COS(RADIANS(3*AX31+6))-0.2*COS(RADIANS(4*AX31-63)))</f>
        <v/>
      </c>
      <c r="AZ31">
        <f>IF(OR($C31="",F31=""),"",2*SQRT(AV31^7/(AV31^7+25^7)))</f>
        <v/>
      </c>
      <c r="BA31">
        <f>IF(OR($C31="",F31=""),"",1+0.015*(AU31-50)^2/SQRT(20+(AU31-50)^2))</f>
        <v/>
      </c>
      <c r="BB31">
        <f>IF(OR($C31="",F31=""),"",1+0.045*AV31)</f>
        <v/>
      </c>
      <c r="BC31">
        <f>IF(OR($C31="",F31=""),"",1+0.015*AV31*AY31)</f>
        <v/>
      </c>
      <c r="BD31">
        <f>IF(OR($C31="",F31=""),"",-SIN(RADIANS(2*30*EXP(-(((AX31-275)/25)^2))))*AZ31)</f>
        <v/>
      </c>
    </row>
    <row r="32">
      <c r="A32" s="7" t="n"/>
      <c r="B32" s="7" t="n"/>
      <c r="C32" s="7" t="n"/>
      <c r="D32" s="7" t="n"/>
      <c r="E32" s="7" t="n"/>
      <c r="F32" s="7" t="n"/>
      <c r="G32" s="8">
        <f>IF($C32="","",INDEX(Matrices!$G$2:$G$15,T32)*C32+INDEX(Matrices!$H$2:$H$15,T32)*D32+INDEX(Matrices!$I$2:$I$15,T32)*E32)</f>
        <v/>
      </c>
      <c r="H32" s="8">
        <f>IF($C32="","",INDEX(Matrices!$J$2:$J$15,T32)*C32+INDEX(Matrices!$K$2:$K$15,T32)*D32+INDEX(Matrices!$L$2:$L$15,T32)*E32)</f>
        <v/>
      </c>
      <c r="I32" s="8">
        <f>IF($C32="","",INDEX(Matrices!$M$2:$M$15,T32)*C32+INDEX(Matrices!$N$2:$N$15,T32)*D32+INDEX(Matrices!$O$2:$O$15,T32)*E32)</f>
        <v/>
      </c>
      <c r="J32" s="8">
        <f>IF($C32="","",W32)</f>
        <v/>
      </c>
      <c r="K32" s="8">
        <f>IF($C32="","",AC32*COS(RADIANS(V32)))</f>
        <v/>
      </c>
      <c r="L32" s="8">
        <f>IF($C32="","",AC32*SIN(RADIANS(V32)))</f>
        <v/>
      </c>
      <c r="M32" s="8">
        <f>IF($C32="","",116*AE32-16)</f>
        <v/>
      </c>
      <c r="N32" s="8">
        <f>IF($C32="","",500*(AD32-AE32))</f>
        <v/>
      </c>
      <c r="O32" s="8">
        <f>IF($C32="","",200*(AE32-AF32))</f>
        <v/>
      </c>
      <c r="P32" s="8">
        <f>IF(OR($C32="",F32=""),"",SQRT((J32-INDEX($J$6:$J$45,AG32))^2+(K32-INDEX($K$6:$K$45,AG32))^2+(L32-INDEX($L$6:$L$45,AG32))^2))</f>
        <v/>
      </c>
      <c r="Q32" s="8">
        <f>IF(OR($C32="",F32=""),"",SQRT((M32-INDEX($M$6:$M$45,AG32))^2+(N32-INDEX($N$6:$N$45,AG32))^2+(O32-INDEX($O$6:$O$45,AG32))^2))</f>
        <v/>
      </c>
      <c r="R32" s="8">
        <f>IF(OR($C32="",F32=""),"",SQRT(((AH32-M32)/BA32)^2+((AP32-AO32)/BB32)^2+(AT32/BC32)^2+BD32*((AP32-AO32)/BB32)*(AT32/BC32)))</f>
        <v/>
      </c>
      <c r="T32">
        <f>IF($C32="","",MATCH(B32,Matrices!$A$2:$A$15,0))</f>
        <v/>
      </c>
      <c r="U32">
        <f>IF($C32="","",SQRT(H32^2+I32^2))</f>
        <v/>
      </c>
      <c r="V32">
        <f>IF($C32="","",IF(U32=0,0,MOD(DEGREES(ATAN2(H32,I32)),360)))</f>
        <v/>
      </c>
      <c r="W32">
        <f>IF($C32="","",IF(G32/100&gt;(6/29)^3,(G32/100)^(1/3),(1/3)*(29/6)^2*G32/100+16/116)*116-16)</f>
        <v/>
      </c>
      <c r="X32">
        <f>IF($C32="","",EXP(0.026742553710937*(W32-51.576165618406904))/0.45888671875)</f>
        <v/>
      </c>
      <c r="Y32">
        <f>IF($C32="","",U32/X32)</f>
        <v/>
      </c>
      <c r="Z32">
        <f>IF($C32="","",IF(AND(V32&gt;1,V32&lt;181),SIN(RADIANS(V32-1))^3,0)+IF(AND(V32&gt;104,V32&lt;284),0.39*COS(RADIANS(V32-14))^2,0))</f>
        <v/>
      </c>
      <c r="AA32">
        <f>IF($C32="","",62*(Z32+0.31))</f>
        <v/>
      </c>
      <c r="AB32">
        <f>IF($C32="","",0.36*(Z32+0.19))</f>
        <v/>
      </c>
      <c r="AC32">
        <f>IF($C32="","",AA32*(LN(Y32/80+AB32)-LN(AB32)))</f>
        <v/>
      </c>
      <c r="AD32">
        <f>IF($C32="","",IF(C32/INDEX(Matrices!$D$2:$D$15,T32)&gt;0.008856,(C32/INDEX(Matrices!$D$2:$D$15,T32))^(1/3),7.787*C32/INDEX(Matrices!$D$2:$D$15,T32)+16/116))</f>
        <v/>
      </c>
      <c r="AE32">
        <f>IF($C32="","",IF(D32/INDEX(Matrices!$E$2:$E$15,T32)&gt;0.008856,(D32/INDEX(Matrices!$E$2:$E$15,T32))^(1/3),7.787*D32/INDEX(Matrices!$E$2:$E$15,T32)+16/116))</f>
        <v/>
      </c>
      <c r="AF32">
        <f>IF($C32="","",IF(E32/INDEX(Matrices!$F$2:$F$15,T32)&gt;0.008856,(E32/INDEX(Matrices!$F$2:$F$15,T32))^(1/3),7.787*E32/INDEX(Matrices!$F$2:$F$15,T32)+16/116))</f>
        <v/>
      </c>
      <c r="AG32">
        <f>IF(OR($C32="",F32=""),"",MATCH(F32,$A$6:$A$45,0))</f>
        <v/>
      </c>
      <c r="AH32">
        <f>IF(OR($C32="",F32=""),"",INDEX($M$6:$M$45,AG32))</f>
        <v/>
      </c>
      <c r="AI32">
        <f>IF(OR($C32="",F32=""),"",INDEX($N$6:$N$45,AG32))</f>
        <v/>
      </c>
      <c r="AJ32">
        <f>IF(OR($C32="",F32=""),"",INDEX($O$6:$O$45,AG32))</f>
        <v/>
      </c>
      <c r="AK32">
        <f>IF(OR($C32="",F32=""),"",(SQRT(N32^2+O32^2)+SQRT(AI32^2+AJ32^2))/2)</f>
        <v/>
      </c>
      <c r="AL32">
        <f>IF(OR($C32="",F32=""),"",0.5*(1-SQRT(AK32^7/(AK32^7+25^7))))</f>
        <v/>
      </c>
      <c r="AM32">
        <f>IF(OR($C32="",F32=""),"",(1+AL32)*N32)</f>
        <v/>
      </c>
      <c r="AN32">
        <f>IF(OR($C32="",F32=""),"",(1+AL32)*AI32)</f>
        <v/>
      </c>
      <c r="AO32">
        <f>IF(OR($C32="",F32=""),"",SQRT(AM32^2+O32^2))</f>
        <v/>
      </c>
      <c r="AP32">
        <f>IF(OR($C32="",F32=""),"",SQRT(AN32^2+AJ32^2))</f>
        <v/>
      </c>
      <c r="AQ32">
        <f>IF(OR($C32="",F32=""),"",IF(AO32=0,0,MOD(DEGREES(ATAN2(AM32,O32)),360)))</f>
        <v/>
      </c>
      <c r="AR32">
        <f>IF(OR($C32="",F32=""),"",IF(AP32=0,0,MOD(DEGREES(ATAN2(AN32,AJ32)),360)))</f>
        <v/>
      </c>
      <c r="AS32">
        <f>IF(OR($C32="",F32=""),"",IF(AO32*AP32=0,0,IF((AR32-AQ32)&gt;180,(AR32-AQ32)-360,IF((AR32-AQ32)&lt;-180,(AR32-AQ32)+360,(AR32-AQ32)))))</f>
        <v/>
      </c>
      <c r="AT32">
        <f>IF(OR($C32="",F32=""),"",2*SQRT(AO32*AP32)*SIN(RADIANS(AS32/2)))</f>
        <v/>
      </c>
      <c r="AU32">
        <f>IF(OR($C32="",F32=""),"",(M32+AH32)/2)</f>
        <v/>
      </c>
      <c r="AV32">
        <f>IF(OR($C32="",F32=""),"",(AO32+AP32)/2)</f>
        <v/>
      </c>
      <c r="AW32">
        <f>IF(OR($C32="",F32=""),"",AQ32+AR32)</f>
        <v/>
      </c>
      <c r="AX32">
        <f>IF(OR($C32="",F32=""),"",IF(AO32*AP32=0,AW32,IF(ABS(AQ32-AR32)&gt;180,IF(AW32&lt;360,(AW32+360)/2,(AW32-360)/2),AW32/2)))</f>
        <v/>
      </c>
      <c r="AY32">
        <f>IF(OR($C32="",F32=""),"",1-0.17*COS(RADIANS(AX32-30))+0.24*COS(RADIANS(2*AX32))+0.32*COS(RADIANS(3*AX32+6))-0.2*COS(RADIANS(4*AX32-63)))</f>
        <v/>
      </c>
      <c r="AZ32">
        <f>IF(OR($C32="",F32=""),"",2*SQRT(AV32^7/(AV32^7+25^7)))</f>
        <v/>
      </c>
      <c r="BA32">
        <f>IF(OR($C32="",F32=""),"",1+0.015*(AU32-50)^2/SQRT(20+(AU32-50)^2))</f>
        <v/>
      </c>
      <c r="BB32">
        <f>IF(OR($C32="",F32=""),"",1+0.045*AV32)</f>
        <v/>
      </c>
      <c r="BC32">
        <f>IF(OR($C32="",F32=""),"",1+0.015*AV32*AY32)</f>
        <v/>
      </c>
      <c r="BD32">
        <f>IF(OR($C32="",F32=""),"",-SIN(RADIANS(2*30*EXP(-(((AX32-275)/25)^2))))*AZ32)</f>
        <v/>
      </c>
    </row>
    <row r="33">
      <c r="A33" s="7" t="n"/>
      <c r="B33" s="7" t="n"/>
      <c r="C33" s="7" t="n"/>
      <c r="D33" s="7" t="n"/>
      <c r="E33" s="7" t="n"/>
      <c r="F33" s="7" t="n"/>
      <c r="G33" s="8">
        <f>IF($C33="","",INDEX(Matrices!$G$2:$G$15,T33)*C33+INDEX(Matrices!$H$2:$H$15,T33)*D33+INDEX(Matrices!$I$2:$I$15,T33)*E33)</f>
        <v/>
      </c>
      <c r="H33" s="8">
        <f>IF($C33="","",INDEX(Matrices!$J$2:$J$15,T33)*C33+INDEX(Matrices!$K$2:$K$15,T33)*D33+INDEX(Matrices!$L$2:$L$15,T33)*E33)</f>
        <v/>
      </c>
      <c r="I33" s="8">
        <f>IF($C33="","",INDEX(Matrices!$M$2:$M$15,T33)*C33+INDEX(Matrices!$N$2:$N$15,T33)*D33+INDEX(Matrices!$O$2:$O$15,T33)*E33)</f>
        <v/>
      </c>
      <c r="J33" s="8">
        <f>IF($C33="","",W33)</f>
        <v/>
      </c>
      <c r="K33" s="8">
        <f>IF($C33="","",AC33*COS(RADIANS(V33)))</f>
        <v/>
      </c>
      <c r="L33" s="8">
        <f>IF($C33="","",AC33*SIN(RADIANS(V33)))</f>
        <v/>
      </c>
      <c r="M33" s="8">
        <f>IF($C33="","",116*AE33-16)</f>
        <v/>
      </c>
      <c r="N33" s="8">
        <f>IF($C33="","",500*(AD33-AE33))</f>
        <v/>
      </c>
      <c r="O33" s="8">
        <f>IF($C33="","",200*(AE33-AF33))</f>
        <v/>
      </c>
      <c r="P33" s="8">
        <f>IF(OR($C33="",F33=""),"",SQRT((J33-INDEX($J$6:$J$45,AG33))^2+(K33-INDEX($K$6:$K$45,AG33))^2+(L33-INDEX($L$6:$L$45,AG33))^2))</f>
        <v/>
      </c>
      <c r="Q33" s="8">
        <f>IF(OR($C33="",F33=""),"",SQRT((M33-INDEX($M$6:$M$45,AG33))^2+(N33-INDEX($N$6:$N$45,AG33))^2+(O33-INDEX($O$6:$O$45,AG33))^2))</f>
        <v/>
      </c>
      <c r="R33" s="8">
        <f>IF(OR($C33="",F33=""),"",SQRT(((AH33-M33)/BA33)^2+((AP33-AO33)/BB33)^2+(AT33/BC33)^2+BD33*((AP33-AO33)/BB33)*(AT33/BC33)))</f>
        <v/>
      </c>
      <c r="T33">
        <f>IF($C33="","",MATCH(B33,Matrices!$A$2:$A$15,0))</f>
        <v/>
      </c>
      <c r="U33">
        <f>IF($C33="","",SQRT(H33^2+I33^2))</f>
        <v/>
      </c>
      <c r="V33">
        <f>IF($C33="","",IF(U33=0,0,MOD(DEGREES(ATAN2(H33,I33)),360)))</f>
        <v/>
      </c>
      <c r="W33">
        <f>IF($C33="","",IF(G33/100&gt;(6/29)^3,(G33/100)^(1/3),(1/3)*(29/6)^2*G33/100+16/116)*116-16)</f>
        <v/>
      </c>
      <c r="X33">
        <f>IF($C33="","",EXP(0.026742553710937*(W33-51.576165618406904))/0.45888671875)</f>
        <v/>
      </c>
      <c r="Y33">
        <f>IF($C33="","",U33/X33)</f>
        <v/>
      </c>
      <c r="Z33">
        <f>IF($C33="","",IF(AND(V33&gt;1,V33&lt;181),SIN(RADIANS(V33-1))^3,0)+IF(AND(V33&gt;104,V33&lt;284),0.39*COS(RADIANS(V33-14))^2,0))</f>
        <v/>
      </c>
      <c r="AA33">
        <f>IF($C33="","",62*(Z33+0.31))</f>
        <v/>
      </c>
      <c r="AB33">
        <f>IF($C33="","",0.36*(Z33+0.19))</f>
        <v/>
      </c>
      <c r="AC33">
        <f>IF($C33="","",AA33*(LN(Y33/80+AB33)-LN(AB33)))</f>
        <v/>
      </c>
      <c r="AD33">
        <f>IF($C33="","",IF(C33/INDEX(Matrices!$D$2:$D$15,T33)&gt;0.008856,(C33/INDEX(Matrices!$D$2:$D$15,T33))^(1/3),7.787*C33/INDEX(Matrices!$D$2:$D$15,T33)+16/116))</f>
        <v/>
      </c>
      <c r="AE33">
        <f>IF($C33="","",IF(D33/INDEX(Matrices!$E$2:$E$15,T33)&gt;0.008856,(D33/INDEX(Matrices!$E$2:$E$15,T33))^(1/3),7.787*D33/INDEX(Matrices!$E$2:$E$15,T33)+16/116))</f>
        <v/>
      </c>
      <c r="AF33">
        <f>IF($C33="","",IF(E33/INDEX(Matrices!$F$2:$F$15,T33)&gt;0.008856,(E33/INDEX(Matrices!$F$2:$F$15,T33))^(1/3),7.787*E33/INDEX(Matrices!$F$2:$F$15,T33)+16/116))</f>
        <v/>
      </c>
      <c r="AG33">
        <f>IF(OR($C33="",F33=""),"",MATCH(F33,$A$6:$A$45,0))</f>
        <v/>
      </c>
      <c r="AH33">
        <f>IF(OR($C33="",F33=""),"",INDEX($M$6:$M$45,AG33))</f>
        <v/>
      </c>
      <c r="AI33">
        <f>IF(OR($C33="",F33=""),"",INDEX($N$6:$N$45,AG33))</f>
        <v/>
      </c>
      <c r="AJ33">
        <f>IF(OR($C33="",F33=""),"",INDEX($O$6:$O$45,AG33))</f>
        <v/>
      </c>
      <c r="AK33">
        <f>IF(OR($C33="",F33=""),"",(SQRT(N33^2+O33^2)+SQRT(AI33^2+AJ33^2))/2)</f>
        <v/>
      </c>
      <c r="AL33">
        <f>IF(OR($C33="",F33=""),"",0.5*(1-SQRT(AK33^7/(AK33^7+25^7))))</f>
        <v/>
      </c>
      <c r="AM33">
        <f>IF(OR($C33="",F33=""),"",(1+AL33)*N33)</f>
        <v/>
      </c>
      <c r="AN33">
        <f>IF(OR($C33="",F33=""),"",(1+AL33)*AI33)</f>
        <v/>
      </c>
      <c r="AO33">
        <f>IF(OR($C33="",F33=""),"",SQRT(AM33^2+O33^2))</f>
        <v/>
      </c>
      <c r="AP33">
        <f>IF(OR($C33="",F33=""),"",SQRT(AN33^2+AJ33^2))</f>
        <v/>
      </c>
      <c r="AQ33">
        <f>IF(OR($C33="",F33=""),"",IF(AO33=0,0,MOD(DEGREES(ATAN2(AM33,O33)),360)))</f>
        <v/>
      </c>
      <c r="AR33">
        <f>IF(OR($C33="",F33=""),"",IF(AP33=0,0,MOD(DEGREES(ATAN2(AN33,AJ33)),360)))</f>
        <v/>
      </c>
      <c r="AS33">
        <f>IF(OR($C33="",F33=""),"",IF(AO33*AP33=0,0,IF((AR33-AQ33)&gt;180,(AR33-AQ33)-360,IF((AR33-AQ33)&lt;-180,(AR33-AQ33)+360,(AR33-AQ33)))))</f>
        <v/>
      </c>
      <c r="AT33">
        <f>IF(OR($C33="",F33=""),"",2*SQRT(AO33*AP33)*SIN(RADIANS(AS33/2)))</f>
        <v/>
      </c>
      <c r="AU33">
        <f>IF(OR($C33="",F33=""),"",(M33+AH33)/2)</f>
        <v/>
      </c>
      <c r="AV33">
        <f>IF(OR($C33="",F33=""),"",(AO33+AP33)/2)</f>
        <v/>
      </c>
      <c r="AW33">
        <f>IF(OR($C33="",F33=""),"",AQ33+AR33)</f>
        <v/>
      </c>
      <c r="AX33">
        <f>IF(OR($C33="",F33=""),"",IF(AO33*AP33=0,AW33,IF(ABS(AQ33-AR33)&gt;180,IF(AW33&lt;360,(AW33+360)/2,(AW33-360)/2),AW33/2)))</f>
        <v/>
      </c>
      <c r="AY33">
        <f>IF(OR($C33="",F33=""),"",1-0.17*COS(RADIANS(AX33-30))+0.24*COS(RADIANS(2*AX33))+0.32*COS(RADIANS(3*AX33+6))-0.2*COS(RADIANS(4*AX33-63)))</f>
        <v/>
      </c>
      <c r="AZ33">
        <f>IF(OR($C33="",F33=""),"",2*SQRT(AV33^7/(AV33^7+25^7)))</f>
        <v/>
      </c>
      <c r="BA33">
        <f>IF(OR($C33="",F33=""),"",1+0.015*(AU33-50)^2/SQRT(20+(AU33-50)^2))</f>
        <v/>
      </c>
      <c r="BB33">
        <f>IF(OR($C33="",F33=""),"",1+0.045*AV33)</f>
        <v/>
      </c>
      <c r="BC33">
        <f>IF(OR($C33="",F33=""),"",1+0.015*AV33*AY33)</f>
        <v/>
      </c>
      <c r="BD33">
        <f>IF(OR($C33="",F33=""),"",-SIN(RADIANS(2*30*EXP(-(((AX33-275)/25)^2))))*AZ33)</f>
        <v/>
      </c>
    </row>
    <row r="34">
      <c r="A34" s="7" t="n"/>
      <c r="B34" s="7" t="n"/>
      <c r="C34" s="7" t="n"/>
      <c r="D34" s="7" t="n"/>
      <c r="E34" s="7" t="n"/>
      <c r="F34" s="7" t="n"/>
      <c r="G34" s="8">
        <f>IF($C34="","",INDEX(Matrices!$G$2:$G$15,T34)*C34+INDEX(Matrices!$H$2:$H$15,T34)*D34+INDEX(Matrices!$I$2:$I$15,T34)*E34)</f>
        <v/>
      </c>
      <c r="H34" s="8">
        <f>IF($C34="","",INDEX(Matrices!$J$2:$J$15,T34)*C34+INDEX(Matrices!$K$2:$K$15,T34)*D34+INDEX(Matrices!$L$2:$L$15,T34)*E34)</f>
        <v/>
      </c>
      <c r="I34" s="8">
        <f>IF($C34="","",INDEX(Matrices!$M$2:$M$15,T34)*C34+INDEX(Matrices!$N$2:$N$15,T34)*D34+INDEX(Matrices!$O$2:$O$15,T34)*E34)</f>
        <v/>
      </c>
      <c r="J34" s="8">
        <f>IF($C34="","",W34)</f>
        <v/>
      </c>
      <c r="K34" s="8">
        <f>IF($C34="","",AC34*COS(RADIANS(V34)))</f>
        <v/>
      </c>
      <c r="L34" s="8">
        <f>IF($C34="","",AC34*SIN(RADIANS(V34)))</f>
        <v/>
      </c>
      <c r="M34" s="8">
        <f>IF($C34="","",116*AE34-16)</f>
        <v/>
      </c>
      <c r="N34" s="8">
        <f>IF($C34="","",500*(AD34-AE34))</f>
        <v/>
      </c>
      <c r="O34" s="8">
        <f>IF($C34="","",200*(AE34-AF34))</f>
        <v/>
      </c>
      <c r="P34" s="8">
        <f>IF(OR($C34="",F34=""),"",SQRT((J34-INDEX($J$6:$J$45,AG34))^2+(K34-INDEX($K$6:$K$45,AG34))^2+(L34-INDEX($L$6:$L$45,AG34))^2))</f>
        <v/>
      </c>
      <c r="Q34" s="8">
        <f>IF(OR($C34="",F34=""),"",SQRT((M34-INDEX($M$6:$M$45,AG34))^2+(N34-INDEX($N$6:$N$45,AG34))^2+(O34-INDEX($O$6:$O$45,AG34))^2))</f>
        <v/>
      </c>
      <c r="R34" s="8">
        <f>IF(OR($C34="",F34=""),"",SQRT(((AH34-M34)/BA34)^2+((AP34-AO34)/BB34)^2+(AT34/BC34)^2+BD34*((AP34-AO34)/BB34)*(AT34/BC34)))</f>
        <v/>
      </c>
      <c r="T34">
        <f>IF($C34="","",MATCH(B34,Matrices!$A$2:$A$15,0))</f>
        <v/>
      </c>
      <c r="U34">
        <f>IF($C34="","",SQRT(H34^2+I34^2))</f>
        <v/>
      </c>
      <c r="V34">
        <f>IF($C34="","",IF(U34=0,0,MOD(DEGREES(ATAN2(H34,I34)),360)))</f>
        <v/>
      </c>
      <c r="W34">
        <f>IF($C34="","",IF(G34/100&gt;(6/29)^3,(G34/100)^(1/3),(1/3)*(29/6)^2*G34/100+16/116)*116-16)</f>
        <v/>
      </c>
      <c r="X34">
        <f>IF($C34="","",EXP(0.026742553710937*(W34-51.576165618406904))/0.45888671875)</f>
        <v/>
      </c>
      <c r="Y34">
        <f>IF($C34="","",U34/X34)</f>
        <v/>
      </c>
      <c r="Z34">
        <f>IF($C34="","",IF(AND(V34&gt;1,V34&lt;181),SIN(RADIANS(V34-1))^3,0)+IF(AND(V34&gt;104,V34&lt;284),0.39*COS(RADIANS(V34-14))^2,0))</f>
        <v/>
      </c>
      <c r="AA34">
        <f>IF($C34="","",62*(Z34+0.31))</f>
        <v/>
      </c>
      <c r="AB34">
        <f>IF($C34="","",0.36*(Z34+0.19))</f>
        <v/>
      </c>
      <c r="AC34">
        <f>IF($C34="","",AA34*(LN(Y34/80+AB34)-LN(AB34)))</f>
        <v/>
      </c>
      <c r="AD34">
        <f>IF($C34="","",IF(C34/INDEX(Matrices!$D$2:$D$15,T34)&gt;0.008856,(C34/INDEX(Matrices!$D$2:$D$15,T34))^(1/3),7.787*C34/INDEX(Matrices!$D$2:$D$15,T34)+16/116))</f>
        <v/>
      </c>
      <c r="AE34">
        <f>IF($C34="","",IF(D34/INDEX(Matrices!$E$2:$E$15,T34)&gt;0.008856,(D34/INDEX(Matrices!$E$2:$E$15,T34))^(1/3),7.787*D34/INDEX(Matrices!$E$2:$E$15,T34)+16/116))</f>
        <v/>
      </c>
      <c r="AF34">
        <f>IF($C34="","",IF(E34/INDEX(Matrices!$F$2:$F$15,T34)&gt;0.008856,(E34/INDEX(Matrices!$F$2:$F$15,T34))^(1/3),7.787*E34/INDEX(Matrices!$F$2:$F$15,T34)+16/116))</f>
        <v/>
      </c>
      <c r="AG34">
        <f>IF(OR($C34="",F34=""),"",MATCH(F34,$A$6:$A$45,0))</f>
        <v/>
      </c>
      <c r="AH34">
        <f>IF(OR($C34="",F34=""),"",INDEX($M$6:$M$45,AG34))</f>
        <v/>
      </c>
      <c r="AI34">
        <f>IF(OR($C34="",F34=""),"",INDEX($N$6:$N$45,AG34))</f>
        <v/>
      </c>
      <c r="AJ34">
        <f>IF(OR($C34="",F34=""),"",INDEX($O$6:$O$45,AG34))</f>
        <v/>
      </c>
      <c r="AK34">
        <f>IF(OR($C34="",F34=""),"",(SQRT(N34^2+O34^2)+SQRT(AI34^2+AJ34^2))/2)</f>
        <v/>
      </c>
      <c r="AL34">
        <f>IF(OR($C34="",F34=""),"",0.5*(1-SQRT(AK34^7/(AK34^7+25^7))))</f>
        <v/>
      </c>
      <c r="AM34">
        <f>IF(OR($C34="",F34=""),"",(1+AL34)*N34)</f>
        <v/>
      </c>
      <c r="AN34">
        <f>IF(OR($C34="",F34=""),"",(1+AL34)*AI34)</f>
        <v/>
      </c>
      <c r="AO34">
        <f>IF(OR($C34="",F34=""),"",SQRT(AM34^2+O34^2))</f>
        <v/>
      </c>
      <c r="AP34">
        <f>IF(OR($C34="",F34=""),"",SQRT(AN34^2+AJ34^2))</f>
        <v/>
      </c>
      <c r="AQ34">
        <f>IF(OR($C34="",F34=""),"",IF(AO34=0,0,MOD(DEGREES(ATAN2(AM34,O34)),360)))</f>
        <v/>
      </c>
      <c r="AR34">
        <f>IF(OR($C34="",F34=""),"",IF(AP34=0,0,MOD(DEGREES(ATAN2(AN34,AJ34)),360)))</f>
        <v/>
      </c>
      <c r="AS34">
        <f>IF(OR($C34="",F34=""),"",IF(AO34*AP34=0,0,IF((AR34-AQ34)&gt;180,(AR34-AQ34)-360,IF((AR34-AQ34)&lt;-180,(AR34-AQ34)+360,(AR34-AQ34)))))</f>
        <v/>
      </c>
      <c r="AT34">
        <f>IF(OR($C34="",F34=""),"",2*SQRT(AO34*AP34)*SIN(RADIANS(AS34/2)))</f>
        <v/>
      </c>
      <c r="AU34">
        <f>IF(OR($C34="",F34=""),"",(M34+AH34)/2)</f>
        <v/>
      </c>
      <c r="AV34">
        <f>IF(OR($C34="",F34=""),"",(AO34+AP34)/2)</f>
        <v/>
      </c>
      <c r="AW34">
        <f>IF(OR($C34="",F34=""),"",AQ34+AR34)</f>
        <v/>
      </c>
      <c r="AX34">
        <f>IF(OR($C34="",F34=""),"",IF(AO34*AP34=0,AW34,IF(ABS(AQ34-AR34)&gt;180,IF(AW34&lt;360,(AW34+360)/2,(AW34-360)/2),AW34/2)))</f>
        <v/>
      </c>
      <c r="AY34">
        <f>IF(OR($C34="",F34=""),"",1-0.17*COS(RADIANS(AX34-30))+0.24*COS(RADIANS(2*AX34))+0.32*COS(RADIANS(3*AX34+6))-0.2*COS(RADIANS(4*AX34-63)))</f>
        <v/>
      </c>
      <c r="AZ34">
        <f>IF(OR($C34="",F34=""),"",2*SQRT(AV34^7/(AV34^7+25^7)))</f>
        <v/>
      </c>
      <c r="BA34">
        <f>IF(OR($C34="",F34=""),"",1+0.015*(AU34-50)^2/SQRT(20+(AU34-50)^2))</f>
        <v/>
      </c>
      <c r="BB34">
        <f>IF(OR($C34="",F34=""),"",1+0.045*AV34)</f>
        <v/>
      </c>
      <c r="BC34">
        <f>IF(OR($C34="",F34=""),"",1+0.015*AV34*AY34)</f>
        <v/>
      </c>
      <c r="BD34">
        <f>IF(OR($C34="",F34=""),"",-SIN(RADIANS(2*30*EXP(-(((AX34-275)/25)^2))))*AZ34)</f>
        <v/>
      </c>
    </row>
    <row r="35">
      <c r="A35" s="7" t="n"/>
      <c r="B35" s="7" t="n"/>
      <c r="C35" s="7" t="n"/>
      <c r="D35" s="7" t="n"/>
      <c r="E35" s="7" t="n"/>
      <c r="F35" s="7" t="n"/>
      <c r="G35" s="8">
        <f>IF($C35="","",INDEX(Matrices!$G$2:$G$15,T35)*C35+INDEX(Matrices!$H$2:$H$15,T35)*D35+INDEX(Matrices!$I$2:$I$15,T35)*E35)</f>
        <v/>
      </c>
      <c r="H35" s="8">
        <f>IF($C35="","",INDEX(Matrices!$J$2:$J$15,T35)*C35+INDEX(Matrices!$K$2:$K$15,T35)*D35+INDEX(Matrices!$L$2:$L$15,T35)*E35)</f>
        <v/>
      </c>
      <c r="I35" s="8">
        <f>IF($C35="","",INDEX(Matrices!$M$2:$M$15,T35)*C35+INDEX(Matrices!$N$2:$N$15,T35)*D35+INDEX(Matrices!$O$2:$O$15,T35)*E35)</f>
        <v/>
      </c>
      <c r="J35" s="8">
        <f>IF($C35="","",W35)</f>
        <v/>
      </c>
      <c r="K35" s="8">
        <f>IF($C35="","",AC35*COS(RADIANS(V35)))</f>
        <v/>
      </c>
      <c r="L35" s="8">
        <f>IF($C35="","",AC35*SIN(RADIANS(V35)))</f>
        <v/>
      </c>
      <c r="M35" s="8">
        <f>IF($C35="","",116*AE35-16)</f>
        <v/>
      </c>
      <c r="N35" s="8">
        <f>IF($C35="","",500*(AD35-AE35))</f>
        <v/>
      </c>
      <c r="O35" s="8">
        <f>IF($C35="","",200*(AE35-AF35))</f>
        <v/>
      </c>
      <c r="P35" s="8">
        <f>IF(OR($C35="",F35=""),"",SQRT((J35-INDEX($J$6:$J$45,AG35))^2+(K35-INDEX($K$6:$K$45,AG35))^2+(L35-INDEX($L$6:$L$45,AG35))^2))</f>
        <v/>
      </c>
      <c r="Q35" s="8">
        <f>IF(OR($C35="",F35=""),"",SQRT((M35-INDEX($M$6:$M$45,AG35))^2+(N35-INDEX($N$6:$N$45,AG35))^2+(O35-INDEX($O$6:$O$45,AG35))^2))</f>
        <v/>
      </c>
      <c r="R35" s="8">
        <f>IF(OR($C35="",F35=""),"",SQRT(((AH35-M35)/BA35)^2+((AP35-AO35)/BB35)^2+(AT35/BC35)^2+BD35*((AP35-AO35)/BB35)*(AT35/BC35)))</f>
        <v/>
      </c>
      <c r="T35">
        <f>IF($C35="","",MATCH(B35,Matrices!$A$2:$A$15,0))</f>
        <v/>
      </c>
      <c r="U35">
        <f>IF($C35="","",SQRT(H35^2+I35^2))</f>
        <v/>
      </c>
      <c r="V35">
        <f>IF($C35="","",IF(U35=0,0,MOD(DEGREES(ATAN2(H35,I35)),360)))</f>
        <v/>
      </c>
      <c r="W35">
        <f>IF($C35="","",IF(G35/100&gt;(6/29)^3,(G35/100)^(1/3),(1/3)*(29/6)^2*G35/100+16/116)*116-16)</f>
        <v/>
      </c>
      <c r="X35">
        <f>IF($C35="","",EXP(0.026742553710937*(W35-51.576165618406904))/0.45888671875)</f>
        <v/>
      </c>
      <c r="Y35">
        <f>IF($C35="","",U35/X35)</f>
        <v/>
      </c>
      <c r="Z35">
        <f>IF($C35="","",IF(AND(V35&gt;1,V35&lt;181),SIN(RADIANS(V35-1))^3,0)+IF(AND(V35&gt;104,V35&lt;284),0.39*COS(RADIANS(V35-14))^2,0))</f>
        <v/>
      </c>
      <c r="AA35">
        <f>IF($C35="","",62*(Z35+0.31))</f>
        <v/>
      </c>
      <c r="AB35">
        <f>IF($C35="","",0.36*(Z35+0.19))</f>
        <v/>
      </c>
      <c r="AC35">
        <f>IF($C35="","",AA35*(LN(Y35/80+AB35)-LN(AB35)))</f>
        <v/>
      </c>
      <c r="AD35">
        <f>IF($C35="","",IF(C35/INDEX(Matrices!$D$2:$D$15,T35)&gt;0.008856,(C35/INDEX(Matrices!$D$2:$D$15,T35))^(1/3),7.787*C35/INDEX(Matrices!$D$2:$D$15,T35)+16/116))</f>
        <v/>
      </c>
      <c r="AE35">
        <f>IF($C35="","",IF(D35/INDEX(Matrices!$E$2:$E$15,T35)&gt;0.008856,(D35/INDEX(Matrices!$E$2:$E$15,T35))^(1/3),7.787*D35/INDEX(Matrices!$E$2:$E$15,T35)+16/116))</f>
        <v/>
      </c>
      <c r="AF35">
        <f>IF($C35="","",IF(E35/INDEX(Matrices!$F$2:$F$15,T35)&gt;0.008856,(E35/INDEX(Matrices!$F$2:$F$15,T35))^(1/3),7.787*E35/INDEX(Matrices!$F$2:$F$15,T35)+16/116))</f>
        <v/>
      </c>
      <c r="AG35">
        <f>IF(OR($C35="",F35=""),"",MATCH(F35,$A$6:$A$45,0))</f>
        <v/>
      </c>
      <c r="AH35">
        <f>IF(OR($C35="",F35=""),"",INDEX($M$6:$M$45,AG35))</f>
        <v/>
      </c>
      <c r="AI35">
        <f>IF(OR($C35="",F35=""),"",INDEX($N$6:$N$45,AG35))</f>
        <v/>
      </c>
      <c r="AJ35">
        <f>IF(OR($C35="",F35=""),"",INDEX($O$6:$O$45,AG35))</f>
        <v/>
      </c>
      <c r="AK35">
        <f>IF(OR($C35="",F35=""),"",(SQRT(N35^2+O35^2)+SQRT(AI35^2+AJ35^2))/2)</f>
        <v/>
      </c>
      <c r="AL35">
        <f>IF(OR($C35="",F35=""),"",0.5*(1-SQRT(AK35^7/(AK35^7+25^7))))</f>
        <v/>
      </c>
      <c r="AM35">
        <f>IF(OR($C35="",F35=""),"",(1+AL35)*N35)</f>
        <v/>
      </c>
      <c r="AN35">
        <f>IF(OR($C35="",F35=""),"",(1+AL35)*AI35)</f>
        <v/>
      </c>
      <c r="AO35">
        <f>IF(OR($C35="",F35=""),"",SQRT(AM35^2+O35^2))</f>
        <v/>
      </c>
      <c r="AP35">
        <f>IF(OR($C35="",F35=""),"",SQRT(AN35^2+AJ35^2))</f>
        <v/>
      </c>
      <c r="AQ35">
        <f>IF(OR($C35="",F35=""),"",IF(AO35=0,0,MOD(DEGREES(ATAN2(AM35,O35)),360)))</f>
        <v/>
      </c>
      <c r="AR35">
        <f>IF(OR($C35="",F35=""),"",IF(AP35=0,0,MOD(DEGREES(ATAN2(AN35,AJ35)),360)))</f>
        <v/>
      </c>
      <c r="AS35">
        <f>IF(OR($C35="",F35=""),"",IF(AO35*AP35=0,0,IF((AR35-AQ35)&gt;180,(AR35-AQ35)-360,IF((AR35-AQ35)&lt;-180,(AR35-AQ35)+360,(AR35-AQ35)))))</f>
        <v/>
      </c>
      <c r="AT35">
        <f>IF(OR($C35="",F35=""),"",2*SQRT(AO35*AP35)*SIN(RADIANS(AS35/2)))</f>
        <v/>
      </c>
      <c r="AU35">
        <f>IF(OR($C35="",F35=""),"",(M35+AH35)/2)</f>
        <v/>
      </c>
      <c r="AV35">
        <f>IF(OR($C35="",F35=""),"",(AO35+AP35)/2)</f>
        <v/>
      </c>
      <c r="AW35">
        <f>IF(OR($C35="",F35=""),"",AQ35+AR35)</f>
        <v/>
      </c>
      <c r="AX35">
        <f>IF(OR($C35="",F35=""),"",IF(AO35*AP35=0,AW35,IF(ABS(AQ35-AR35)&gt;180,IF(AW35&lt;360,(AW35+360)/2,(AW35-360)/2),AW35/2)))</f>
        <v/>
      </c>
      <c r="AY35">
        <f>IF(OR($C35="",F35=""),"",1-0.17*COS(RADIANS(AX35-30))+0.24*COS(RADIANS(2*AX35))+0.32*COS(RADIANS(3*AX35+6))-0.2*COS(RADIANS(4*AX35-63)))</f>
        <v/>
      </c>
      <c r="AZ35">
        <f>IF(OR($C35="",F35=""),"",2*SQRT(AV35^7/(AV35^7+25^7)))</f>
        <v/>
      </c>
      <c r="BA35">
        <f>IF(OR($C35="",F35=""),"",1+0.015*(AU35-50)^2/SQRT(20+(AU35-50)^2))</f>
        <v/>
      </c>
      <c r="BB35">
        <f>IF(OR($C35="",F35=""),"",1+0.045*AV35)</f>
        <v/>
      </c>
      <c r="BC35">
        <f>IF(OR($C35="",F35=""),"",1+0.015*AV35*AY35)</f>
        <v/>
      </c>
      <c r="BD35">
        <f>IF(OR($C35="",F35=""),"",-SIN(RADIANS(2*30*EXP(-(((AX35-275)/25)^2))))*AZ35)</f>
        <v/>
      </c>
    </row>
    <row r="36">
      <c r="A36" s="7" t="n"/>
      <c r="B36" s="7" t="n"/>
      <c r="C36" s="7" t="n"/>
      <c r="D36" s="7" t="n"/>
      <c r="E36" s="7" t="n"/>
      <c r="F36" s="7" t="n"/>
      <c r="G36" s="8">
        <f>IF($C36="","",INDEX(Matrices!$G$2:$G$15,T36)*C36+INDEX(Matrices!$H$2:$H$15,T36)*D36+INDEX(Matrices!$I$2:$I$15,T36)*E36)</f>
        <v/>
      </c>
      <c r="H36" s="8">
        <f>IF($C36="","",INDEX(Matrices!$J$2:$J$15,T36)*C36+INDEX(Matrices!$K$2:$K$15,T36)*D36+INDEX(Matrices!$L$2:$L$15,T36)*E36)</f>
        <v/>
      </c>
      <c r="I36" s="8">
        <f>IF($C36="","",INDEX(Matrices!$M$2:$M$15,T36)*C36+INDEX(Matrices!$N$2:$N$15,T36)*D36+INDEX(Matrices!$O$2:$O$15,T36)*E36)</f>
        <v/>
      </c>
      <c r="J36" s="8">
        <f>IF($C36="","",W36)</f>
        <v/>
      </c>
      <c r="K36" s="8">
        <f>IF($C36="","",AC36*COS(RADIANS(V36)))</f>
        <v/>
      </c>
      <c r="L36" s="8">
        <f>IF($C36="","",AC36*SIN(RADIANS(V36)))</f>
        <v/>
      </c>
      <c r="M36" s="8">
        <f>IF($C36="","",116*AE36-16)</f>
        <v/>
      </c>
      <c r="N36" s="8">
        <f>IF($C36="","",500*(AD36-AE36))</f>
        <v/>
      </c>
      <c r="O36" s="8">
        <f>IF($C36="","",200*(AE36-AF36))</f>
        <v/>
      </c>
      <c r="P36" s="8">
        <f>IF(OR($C36="",F36=""),"",SQRT((J36-INDEX($J$6:$J$45,AG36))^2+(K36-INDEX($K$6:$K$45,AG36))^2+(L36-INDEX($L$6:$L$45,AG36))^2))</f>
        <v/>
      </c>
      <c r="Q36" s="8">
        <f>IF(OR($C36="",F36=""),"",SQRT((M36-INDEX($M$6:$M$45,AG36))^2+(N36-INDEX($N$6:$N$45,AG36))^2+(O36-INDEX($O$6:$O$45,AG36))^2))</f>
        <v/>
      </c>
      <c r="R36" s="8">
        <f>IF(OR($C36="",F36=""),"",SQRT(((AH36-M36)/BA36)^2+((AP36-AO36)/BB36)^2+(AT36/BC36)^2+BD36*((AP36-AO36)/BB36)*(AT36/BC36)))</f>
        <v/>
      </c>
      <c r="T36">
        <f>IF($C36="","",MATCH(B36,Matrices!$A$2:$A$15,0))</f>
        <v/>
      </c>
      <c r="U36">
        <f>IF($C36="","",SQRT(H36^2+I36^2))</f>
        <v/>
      </c>
      <c r="V36">
        <f>IF($C36="","",IF(U36=0,0,MOD(DEGREES(ATAN2(H36,I36)),360)))</f>
        <v/>
      </c>
      <c r="W36">
        <f>IF($C36="","",IF(G36/100&gt;(6/29)^3,(G36/100)^(1/3),(1/3)*(29/6)^2*G36/100+16/116)*116-16)</f>
        <v/>
      </c>
      <c r="X36">
        <f>IF($C36="","",EXP(0.026742553710937*(W36-51.576165618406904))/0.45888671875)</f>
        <v/>
      </c>
      <c r="Y36">
        <f>IF($C36="","",U36/X36)</f>
        <v/>
      </c>
      <c r="Z36">
        <f>IF($C36="","",IF(AND(V36&gt;1,V36&lt;181),SIN(RADIANS(V36-1))^3,0)+IF(AND(V36&gt;104,V36&lt;284),0.39*COS(RADIANS(V36-14))^2,0))</f>
        <v/>
      </c>
      <c r="AA36">
        <f>IF($C36="","",62*(Z36+0.31))</f>
        <v/>
      </c>
      <c r="AB36">
        <f>IF($C36="","",0.36*(Z36+0.19))</f>
        <v/>
      </c>
      <c r="AC36">
        <f>IF($C36="","",AA36*(LN(Y36/80+AB36)-LN(AB36)))</f>
        <v/>
      </c>
      <c r="AD36">
        <f>IF($C36="","",IF(C36/INDEX(Matrices!$D$2:$D$15,T36)&gt;0.008856,(C36/INDEX(Matrices!$D$2:$D$15,T36))^(1/3),7.787*C36/INDEX(Matrices!$D$2:$D$15,T36)+16/116))</f>
        <v/>
      </c>
      <c r="AE36">
        <f>IF($C36="","",IF(D36/INDEX(Matrices!$E$2:$E$15,T36)&gt;0.008856,(D36/INDEX(Matrices!$E$2:$E$15,T36))^(1/3),7.787*D36/INDEX(Matrices!$E$2:$E$15,T36)+16/116))</f>
        <v/>
      </c>
      <c r="AF36">
        <f>IF($C36="","",IF(E36/INDEX(Matrices!$F$2:$F$15,T36)&gt;0.008856,(E36/INDEX(Matrices!$F$2:$F$15,T36))^(1/3),7.787*E36/INDEX(Matrices!$F$2:$F$15,T36)+16/116))</f>
        <v/>
      </c>
      <c r="AG36">
        <f>IF(OR($C36="",F36=""),"",MATCH(F36,$A$6:$A$45,0))</f>
        <v/>
      </c>
      <c r="AH36">
        <f>IF(OR($C36="",F36=""),"",INDEX($M$6:$M$45,AG36))</f>
        <v/>
      </c>
      <c r="AI36">
        <f>IF(OR($C36="",F36=""),"",INDEX($N$6:$N$45,AG36))</f>
        <v/>
      </c>
      <c r="AJ36">
        <f>IF(OR($C36="",F36=""),"",INDEX($O$6:$O$45,AG36))</f>
        <v/>
      </c>
      <c r="AK36">
        <f>IF(OR($C36="",F36=""),"",(SQRT(N36^2+O36^2)+SQRT(AI36^2+AJ36^2))/2)</f>
        <v/>
      </c>
      <c r="AL36">
        <f>IF(OR($C36="",F36=""),"",0.5*(1-SQRT(AK36^7/(AK36^7+25^7))))</f>
        <v/>
      </c>
      <c r="AM36">
        <f>IF(OR($C36="",F36=""),"",(1+AL36)*N36)</f>
        <v/>
      </c>
      <c r="AN36">
        <f>IF(OR($C36="",F36=""),"",(1+AL36)*AI36)</f>
        <v/>
      </c>
      <c r="AO36">
        <f>IF(OR($C36="",F36=""),"",SQRT(AM36^2+O36^2))</f>
        <v/>
      </c>
      <c r="AP36">
        <f>IF(OR($C36="",F36=""),"",SQRT(AN36^2+AJ36^2))</f>
        <v/>
      </c>
      <c r="AQ36">
        <f>IF(OR($C36="",F36=""),"",IF(AO36=0,0,MOD(DEGREES(ATAN2(AM36,O36)),360)))</f>
        <v/>
      </c>
      <c r="AR36">
        <f>IF(OR($C36="",F36=""),"",IF(AP36=0,0,MOD(DEGREES(ATAN2(AN36,AJ36)),360)))</f>
        <v/>
      </c>
      <c r="AS36">
        <f>IF(OR($C36="",F36=""),"",IF(AO36*AP36=0,0,IF((AR36-AQ36)&gt;180,(AR36-AQ36)-360,IF((AR36-AQ36)&lt;-180,(AR36-AQ36)+360,(AR36-AQ36)))))</f>
        <v/>
      </c>
      <c r="AT36">
        <f>IF(OR($C36="",F36=""),"",2*SQRT(AO36*AP36)*SIN(RADIANS(AS36/2)))</f>
        <v/>
      </c>
      <c r="AU36">
        <f>IF(OR($C36="",F36=""),"",(M36+AH36)/2)</f>
        <v/>
      </c>
      <c r="AV36">
        <f>IF(OR($C36="",F36=""),"",(AO36+AP36)/2)</f>
        <v/>
      </c>
      <c r="AW36">
        <f>IF(OR($C36="",F36=""),"",AQ36+AR36)</f>
        <v/>
      </c>
      <c r="AX36">
        <f>IF(OR($C36="",F36=""),"",IF(AO36*AP36=0,AW36,IF(ABS(AQ36-AR36)&gt;180,IF(AW36&lt;360,(AW36+360)/2,(AW36-360)/2),AW36/2)))</f>
        <v/>
      </c>
      <c r="AY36">
        <f>IF(OR($C36="",F36=""),"",1-0.17*COS(RADIANS(AX36-30))+0.24*COS(RADIANS(2*AX36))+0.32*COS(RADIANS(3*AX36+6))-0.2*COS(RADIANS(4*AX36-63)))</f>
        <v/>
      </c>
      <c r="AZ36">
        <f>IF(OR($C36="",F36=""),"",2*SQRT(AV36^7/(AV36^7+25^7)))</f>
        <v/>
      </c>
      <c r="BA36">
        <f>IF(OR($C36="",F36=""),"",1+0.015*(AU36-50)^2/SQRT(20+(AU36-50)^2))</f>
        <v/>
      </c>
      <c r="BB36">
        <f>IF(OR($C36="",F36=""),"",1+0.045*AV36)</f>
        <v/>
      </c>
      <c r="BC36">
        <f>IF(OR($C36="",F36=""),"",1+0.015*AV36*AY36)</f>
        <v/>
      </c>
      <c r="BD36">
        <f>IF(OR($C36="",F36=""),"",-SIN(RADIANS(2*30*EXP(-(((AX36-275)/25)^2))))*AZ36)</f>
        <v/>
      </c>
    </row>
    <row r="37">
      <c r="A37" s="7" t="n"/>
      <c r="B37" s="7" t="n"/>
      <c r="C37" s="7" t="n"/>
      <c r="D37" s="7" t="n"/>
      <c r="E37" s="7" t="n"/>
      <c r="F37" s="7" t="n"/>
      <c r="G37" s="8">
        <f>IF($C37="","",INDEX(Matrices!$G$2:$G$15,T37)*C37+INDEX(Matrices!$H$2:$H$15,T37)*D37+INDEX(Matrices!$I$2:$I$15,T37)*E37)</f>
        <v/>
      </c>
      <c r="H37" s="8">
        <f>IF($C37="","",INDEX(Matrices!$J$2:$J$15,T37)*C37+INDEX(Matrices!$K$2:$K$15,T37)*D37+INDEX(Matrices!$L$2:$L$15,T37)*E37)</f>
        <v/>
      </c>
      <c r="I37" s="8">
        <f>IF($C37="","",INDEX(Matrices!$M$2:$M$15,T37)*C37+INDEX(Matrices!$N$2:$N$15,T37)*D37+INDEX(Matrices!$O$2:$O$15,T37)*E37)</f>
        <v/>
      </c>
      <c r="J37" s="8">
        <f>IF($C37="","",W37)</f>
        <v/>
      </c>
      <c r="K37" s="8">
        <f>IF($C37="","",AC37*COS(RADIANS(V37)))</f>
        <v/>
      </c>
      <c r="L37" s="8">
        <f>IF($C37="","",AC37*SIN(RADIANS(V37)))</f>
        <v/>
      </c>
      <c r="M37" s="8">
        <f>IF($C37="","",116*AE37-16)</f>
        <v/>
      </c>
      <c r="N37" s="8">
        <f>IF($C37="","",500*(AD37-AE37))</f>
        <v/>
      </c>
      <c r="O37" s="8">
        <f>IF($C37="","",200*(AE37-AF37))</f>
        <v/>
      </c>
      <c r="P37" s="8">
        <f>IF(OR($C37="",F37=""),"",SQRT((J37-INDEX($J$6:$J$45,AG37))^2+(K37-INDEX($K$6:$K$45,AG37))^2+(L37-INDEX($L$6:$L$45,AG37))^2))</f>
        <v/>
      </c>
      <c r="Q37" s="8">
        <f>IF(OR($C37="",F37=""),"",SQRT((M37-INDEX($M$6:$M$45,AG37))^2+(N37-INDEX($N$6:$N$45,AG37))^2+(O37-INDEX($O$6:$O$45,AG37))^2))</f>
        <v/>
      </c>
      <c r="R37" s="8">
        <f>IF(OR($C37="",F37=""),"",SQRT(((AH37-M37)/BA37)^2+((AP37-AO37)/BB37)^2+(AT37/BC37)^2+BD37*((AP37-AO37)/BB37)*(AT37/BC37)))</f>
        <v/>
      </c>
      <c r="T37">
        <f>IF($C37="","",MATCH(B37,Matrices!$A$2:$A$15,0))</f>
        <v/>
      </c>
      <c r="U37">
        <f>IF($C37="","",SQRT(H37^2+I37^2))</f>
        <v/>
      </c>
      <c r="V37">
        <f>IF($C37="","",IF(U37=0,0,MOD(DEGREES(ATAN2(H37,I37)),360)))</f>
        <v/>
      </c>
      <c r="W37">
        <f>IF($C37="","",IF(G37/100&gt;(6/29)^3,(G37/100)^(1/3),(1/3)*(29/6)^2*G37/100+16/116)*116-16)</f>
        <v/>
      </c>
      <c r="X37">
        <f>IF($C37="","",EXP(0.026742553710937*(W37-51.576165618406904))/0.45888671875)</f>
        <v/>
      </c>
      <c r="Y37">
        <f>IF($C37="","",U37/X37)</f>
        <v/>
      </c>
      <c r="Z37">
        <f>IF($C37="","",IF(AND(V37&gt;1,V37&lt;181),SIN(RADIANS(V37-1))^3,0)+IF(AND(V37&gt;104,V37&lt;284),0.39*COS(RADIANS(V37-14))^2,0))</f>
        <v/>
      </c>
      <c r="AA37">
        <f>IF($C37="","",62*(Z37+0.31))</f>
        <v/>
      </c>
      <c r="AB37">
        <f>IF($C37="","",0.36*(Z37+0.19))</f>
        <v/>
      </c>
      <c r="AC37">
        <f>IF($C37="","",AA37*(LN(Y37/80+AB37)-LN(AB37)))</f>
        <v/>
      </c>
      <c r="AD37">
        <f>IF($C37="","",IF(C37/INDEX(Matrices!$D$2:$D$15,T37)&gt;0.008856,(C37/INDEX(Matrices!$D$2:$D$15,T37))^(1/3),7.787*C37/INDEX(Matrices!$D$2:$D$15,T37)+16/116))</f>
        <v/>
      </c>
      <c r="AE37">
        <f>IF($C37="","",IF(D37/INDEX(Matrices!$E$2:$E$15,T37)&gt;0.008856,(D37/INDEX(Matrices!$E$2:$E$15,T37))^(1/3),7.787*D37/INDEX(Matrices!$E$2:$E$15,T37)+16/116))</f>
        <v/>
      </c>
      <c r="AF37">
        <f>IF($C37="","",IF(E37/INDEX(Matrices!$F$2:$F$15,T37)&gt;0.008856,(E37/INDEX(Matrices!$F$2:$F$15,T37))^(1/3),7.787*E37/INDEX(Matrices!$F$2:$F$15,T37)+16/116))</f>
        <v/>
      </c>
      <c r="AG37">
        <f>IF(OR($C37="",F37=""),"",MATCH(F37,$A$6:$A$45,0))</f>
        <v/>
      </c>
      <c r="AH37">
        <f>IF(OR($C37="",F37=""),"",INDEX($M$6:$M$45,AG37))</f>
        <v/>
      </c>
      <c r="AI37">
        <f>IF(OR($C37="",F37=""),"",INDEX($N$6:$N$45,AG37))</f>
        <v/>
      </c>
      <c r="AJ37">
        <f>IF(OR($C37="",F37=""),"",INDEX($O$6:$O$45,AG37))</f>
        <v/>
      </c>
      <c r="AK37">
        <f>IF(OR($C37="",F37=""),"",(SQRT(N37^2+O37^2)+SQRT(AI37^2+AJ37^2))/2)</f>
        <v/>
      </c>
      <c r="AL37">
        <f>IF(OR($C37="",F37=""),"",0.5*(1-SQRT(AK37^7/(AK37^7+25^7))))</f>
        <v/>
      </c>
      <c r="AM37">
        <f>IF(OR($C37="",F37=""),"",(1+AL37)*N37)</f>
        <v/>
      </c>
      <c r="AN37">
        <f>IF(OR($C37="",F37=""),"",(1+AL37)*AI37)</f>
        <v/>
      </c>
      <c r="AO37">
        <f>IF(OR($C37="",F37=""),"",SQRT(AM37^2+O37^2))</f>
        <v/>
      </c>
      <c r="AP37">
        <f>IF(OR($C37="",F37=""),"",SQRT(AN37^2+AJ37^2))</f>
        <v/>
      </c>
      <c r="AQ37">
        <f>IF(OR($C37="",F37=""),"",IF(AO37=0,0,MOD(DEGREES(ATAN2(AM37,O37)),360)))</f>
        <v/>
      </c>
      <c r="AR37">
        <f>IF(OR($C37="",F37=""),"",IF(AP37=0,0,MOD(DEGREES(ATAN2(AN37,AJ37)),360)))</f>
        <v/>
      </c>
      <c r="AS37">
        <f>IF(OR($C37="",F37=""),"",IF(AO37*AP37=0,0,IF((AR37-AQ37)&gt;180,(AR37-AQ37)-360,IF((AR37-AQ37)&lt;-180,(AR37-AQ37)+360,(AR37-AQ37)))))</f>
        <v/>
      </c>
      <c r="AT37">
        <f>IF(OR($C37="",F37=""),"",2*SQRT(AO37*AP37)*SIN(RADIANS(AS37/2)))</f>
        <v/>
      </c>
      <c r="AU37">
        <f>IF(OR($C37="",F37=""),"",(M37+AH37)/2)</f>
        <v/>
      </c>
      <c r="AV37">
        <f>IF(OR($C37="",F37=""),"",(AO37+AP37)/2)</f>
        <v/>
      </c>
      <c r="AW37">
        <f>IF(OR($C37="",F37=""),"",AQ37+AR37)</f>
        <v/>
      </c>
      <c r="AX37">
        <f>IF(OR($C37="",F37=""),"",IF(AO37*AP37=0,AW37,IF(ABS(AQ37-AR37)&gt;180,IF(AW37&lt;360,(AW37+360)/2,(AW37-360)/2),AW37/2)))</f>
        <v/>
      </c>
      <c r="AY37">
        <f>IF(OR($C37="",F37=""),"",1-0.17*COS(RADIANS(AX37-30))+0.24*COS(RADIANS(2*AX37))+0.32*COS(RADIANS(3*AX37+6))-0.2*COS(RADIANS(4*AX37-63)))</f>
        <v/>
      </c>
      <c r="AZ37">
        <f>IF(OR($C37="",F37=""),"",2*SQRT(AV37^7/(AV37^7+25^7)))</f>
        <v/>
      </c>
      <c r="BA37">
        <f>IF(OR($C37="",F37=""),"",1+0.015*(AU37-50)^2/SQRT(20+(AU37-50)^2))</f>
        <v/>
      </c>
      <c r="BB37">
        <f>IF(OR($C37="",F37=""),"",1+0.045*AV37)</f>
        <v/>
      </c>
      <c r="BC37">
        <f>IF(OR($C37="",F37=""),"",1+0.015*AV37*AY37)</f>
        <v/>
      </c>
      <c r="BD37">
        <f>IF(OR($C37="",F37=""),"",-SIN(RADIANS(2*30*EXP(-(((AX37-275)/25)^2))))*AZ37)</f>
        <v/>
      </c>
    </row>
    <row r="38">
      <c r="A38" s="7" t="n"/>
      <c r="B38" s="7" t="n"/>
      <c r="C38" s="7" t="n"/>
      <c r="D38" s="7" t="n"/>
      <c r="E38" s="7" t="n"/>
      <c r="F38" s="7" t="n"/>
      <c r="G38" s="8">
        <f>IF($C38="","",INDEX(Matrices!$G$2:$G$15,T38)*C38+INDEX(Matrices!$H$2:$H$15,T38)*D38+INDEX(Matrices!$I$2:$I$15,T38)*E38)</f>
        <v/>
      </c>
      <c r="H38" s="8">
        <f>IF($C38="","",INDEX(Matrices!$J$2:$J$15,T38)*C38+INDEX(Matrices!$K$2:$K$15,T38)*D38+INDEX(Matrices!$L$2:$L$15,T38)*E38)</f>
        <v/>
      </c>
      <c r="I38" s="8">
        <f>IF($C38="","",INDEX(Matrices!$M$2:$M$15,T38)*C38+INDEX(Matrices!$N$2:$N$15,T38)*D38+INDEX(Matrices!$O$2:$O$15,T38)*E38)</f>
        <v/>
      </c>
      <c r="J38" s="8">
        <f>IF($C38="","",W38)</f>
        <v/>
      </c>
      <c r="K38" s="8">
        <f>IF($C38="","",AC38*COS(RADIANS(V38)))</f>
        <v/>
      </c>
      <c r="L38" s="8">
        <f>IF($C38="","",AC38*SIN(RADIANS(V38)))</f>
        <v/>
      </c>
      <c r="M38" s="8">
        <f>IF($C38="","",116*AE38-16)</f>
        <v/>
      </c>
      <c r="N38" s="8">
        <f>IF($C38="","",500*(AD38-AE38))</f>
        <v/>
      </c>
      <c r="O38" s="8">
        <f>IF($C38="","",200*(AE38-AF38))</f>
        <v/>
      </c>
      <c r="P38" s="8">
        <f>IF(OR($C38="",F38=""),"",SQRT((J38-INDEX($J$6:$J$45,AG38))^2+(K38-INDEX($K$6:$K$45,AG38))^2+(L38-INDEX($L$6:$L$45,AG38))^2))</f>
        <v/>
      </c>
      <c r="Q38" s="8">
        <f>IF(OR($C38="",F38=""),"",SQRT((M38-INDEX($M$6:$M$45,AG38))^2+(N38-INDEX($N$6:$N$45,AG38))^2+(O38-INDEX($O$6:$O$45,AG38))^2))</f>
        <v/>
      </c>
      <c r="R38" s="8">
        <f>IF(OR($C38="",F38=""),"",SQRT(((AH38-M38)/BA38)^2+((AP38-AO38)/BB38)^2+(AT38/BC38)^2+BD38*((AP38-AO38)/BB38)*(AT38/BC38)))</f>
        <v/>
      </c>
      <c r="T38">
        <f>IF($C38="","",MATCH(B38,Matrices!$A$2:$A$15,0))</f>
        <v/>
      </c>
      <c r="U38">
        <f>IF($C38="","",SQRT(H38^2+I38^2))</f>
        <v/>
      </c>
      <c r="V38">
        <f>IF($C38="","",IF(U38=0,0,MOD(DEGREES(ATAN2(H38,I38)),360)))</f>
        <v/>
      </c>
      <c r="W38">
        <f>IF($C38="","",IF(G38/100&gt;(6/29)^3,(G38/100)^(1/3),(1/3)*(29/6)^2*G38/100+16/116)*116-16)</f>
        <v/>
      </c>
      <c r="X38">
        <f>IF($C38="","",EXP(0.026742553710937*(W38-51.576165618406904))/0.45888671875)</f>
        <v/>
      </c>
      <c r="Y38">
        <f>IF($C38="","",U38/X38)</f>
        <v/>
      </c>
      <c r="Z38">
        <f>IF($C38="","",IF(AND(V38&gt;1,V38&lt;181),SIN(RADIANS(V38-1))^3,0)+IF(AND(V38&gt;104,V38&lt;284),0.39*COS(RADIANS(V38-14))^2,0))</f>
        <v/>
      </c>
      <c r="AA38">
        <f>IF($C38="","",62*(Z38+0.31))</f>
        <v/>
      </c>
      <c r="AB38">
        <f>IF($C38="","",0.36*(Z38+0.19))</f>
        <v/>
      </c>
      <c r="AC38">
        <f>IF($C38="","",AA38*(LN(Y38/80+AB38)-LN(AB38)))</f>
        <v/>
      </c>
      <c r="AD38">
        <f>IF($C38="","",IF(C38/INDEX(Matrices!$D$2:$D$15,T38)&gt;0.008856,(C38/INDEX(Matrices!$D$2:$D$15,T38))^(1/3),7.787*C38/INDEX(Matrices!$D$2:$D$15,T38)+16/116))</f>
        <v/>
      </c>
      <c r="AE38">
        <f>IF($C38="","",IF(D38/INDEX(Matrices!$E$2:$E$15,T38)&gt;0.008856,(D38/INDEX(Matrices!$E$2:$E$15,T38))^(1/3),7.787*D38/INDEX(Matrices!$E$2:$E$15,T38)+16/116))</f>
        <v/>
      </c>
      <c r="AF38">
        <f>IF($C38="","",IF(E38/INDEX(Matrices!$F$2:$F$15,T38)&gt;0.008856,(E38/INDEX(Matrices!$F$2:$F$15,T38))^(1/3),7.787*E38/INDEX(Matrices!$F$2:$F$15,T38)+16/116))</f>
        <v/>
      </c>
      <c r="AG38">
        <f>IF(OR($C38="",F38=""),"",MATCH(F38,$A$6:$A$45,0))</f>
        <v/>
      </c>
      <c r="AH38">
        <f>IF(OR($C38="",F38=""),"",INDEX($M$6:$M$45,AG38))</f>
        <v/>
      </c>
      <c r="AI38">
        <f>IF(OR($C38="",F38=""),"",INDEX($N$6:$N$45,AG38))</f>
        <v/>
      </c>
      <c r="AJ38">
        <f>IF(OR($C38="",F38=""),"",INDEX($O$6:$O$45,AG38))</f>
        <v/>
      </c>
      <c r="AK38">
        <f>IF(OR($C38="",F38=""),"",(SQRT(N38^2+O38^2)+SQRT(AI38^2+AJ38^2))/2)</f>
        <v/>
      </c>
      <c r="AL38">
        <f>IF(OR($C38="",F38=""),"",0.5*(1-SQRT(AK38^7/(AK38^7+25^7))))</f>
        <v/>
      </c>
      <c r="AM38">
        <f>IF(OR($C38="",F38=""),"",(1+AL38)*N38)</f>
        <v/>
      </c>
      <c r="AN38">
        <f>IF(OR($C38="",F38=""),"",(1+AL38)*AI38)</f>
        <v/>
      </c>
      <c r="AO38">
        <f>IF(OR($C38="",F38=""),"",SQRT(AM38^2+O38^2))</f>
        <v/>
      </c>
      <c r="AP38">
        <f>IF(OR($C38="",F38=""),"",SQRT(AN38^2+AJ38^2))</f>
        <v/>
      </c>
      <c r="AQ38">
        <f>IF(OR($C38="",F38=""),"",IF(AO38=0,0,MOD(DEGREES(ATAN2(AM38,O38)),360)))</f>
        <v/>
      </c>
      <c r="AR38">
        <f>IF(OR($C38="",F38=""),"",IF(AP38=0,0,MOD(DEGREES(ATAN2(AN38,AJ38)),360)))</f>
        <v/>
      </c>
      <c r="AS38">
        <f>IF(OR($C38="",F38=""),"",IF(AO38*AP38=0,0,IF((AR38-AQ38)&gt;180,(AR38-AQ38)-360,IF((AR38-AQ38)&lt;-180,(AR38-AQ38)+360,(AR38-AQ38)))))</f>
        <v/>
      </c>
      <c r="AT38">
        <f>IF(OR($C38="",F38=""),"",2*SQRT(AO38*AP38)*SIN(RADIANS(AS38/2)))</f>
        <v/>
      </c>
      <c r="AU38">
        <f>IF(OR($C38="",F38=""),"",(M38+AH38)/2)</f>
        <v/>
      </c>
      <c r="AV38">
        <f>IF(OR($C38="",F38=""),"",(AO38+AP38)/2)</f>
        <v/>
      </c>
      <c r="AW38">
        <f>IF(OR($C38="",F38=""),"",AQ38+AR38)</f>
        <v/>
      </c>
      <c r="AX38">
        <f>IF(OR($C38="",F38=""),"",IF(AO38*AP38=0,AW38,IF(ABS(AQ38-AR38)&gt;180,IF(AW38&lt;360,(AW38+360)/2,(AW38-360)/2),AW38/2)))</f>
        <v/>
      </c>
      <c r="AY38">
        <f>IF(OR($C38="",F38=""),"",1-0.17*COS(RADIANS(AX38-30))+0.24*COS(RADIANS(2*AX38))+0.32*COS(RADIANS(3*AX38+6))-0.2*COS(RADIANS(4*AX38-63)))</f>
        <v/>
      </c>
      <c r="AZ38">
        <f>IF(OR($C38="",F38=""),"",2*SQRT(AV38^7/(AV38^7+25^7)))</f>
        <v/>
      </c>
      <c r="BA38">
        <f>IF(OR($C38="",F38=""),"",1+0.015*(AU38-50)^2/SQRT(20+(AU38-50)^2))</f>
        <v/>
      </c>
      <c r="BB38">
        <f>IF(OR($C38="",F38=""),"",1+0.045*AV38)</f>
        <v/>
      </c>
      <c r="BC38">
        <f>IF(OR($C38="",F38=""),"",1+0.015*AV38*AY38)</f>
        <v/>
      </c>
      <c r="BD38">
        <f>IF(OR($C38="",F38=""),"",-SIN(RADIANS(2*30*EXP(-(((AX38-275)/25)^2))))*AZ38)</f>
        <v/>
      </c>
    </row>
    <row r="39">
      <c r="A39" s="7" t="n"/>
      <c r="B39" s="7" t="n"/>
      <c r="C39" s="7" t="n"/>
      <c r="D39" s="7" t="n"/>
      <c r="E39" s="7" t="n"/>
      <c r="F39" s="7" t="n"/>
      <c r="G39" s="8">
        <f>IF($C39="","",INDEX(Matrices!$G$2:$G$15,T39)*C39+INDEX(Matrices!$H$2:$H$15,T39)*D39+INDEX(Matrices!$I$2:$I$15,T39)*E39)</f>
        <v/>
      </c>
      <c r="H39" s="8">
        <f>IF($C39="","",INDEX(Matrices!$J$2:$J$15,T39)*C39+INDEX(Matrices!$K$2:$K$15,T39)*D39+INDEX(Matrices!$L$2:$L$15,T39)*E39)</f>
        <v/>
      </c>
      <c r="I39" s="8">
        <f>IF($C39="","",INDEX(Matrices!$M$2:$M$15,T39)*C39+INDEX(Matrices!$N$2:$N$15,T39)*D39+INDEX(Matrices!$O$2:$O$15,T39)*E39)</f>
        <v/>
      </c>
      <c r="J39" s="8">
        <f>IF($C39="","",W39)</f>
        <v/>
      </c>
      <c r="K39" s="8">
        <f>IF($C39="","",AC39*COS(RADIANS(V39)))</f>
        <v/>
      </c>
      <c r="L39" s="8">
        <f>IF($C39="","",AC39*SIN(RADIANS(V39)))</f>
        <v/>
      </c>
      <c r="M39" s="8">
        <f>IF($C39="","",116*AE39-16)</f>
        <v/>
      </c>
      <c r="N39" s="8">
        <f>IF($C39="","",500*(AD39-AE39))</f>
        <v/>
      </c>
      <c r="O39" s="8">
        <f>IF($C39="","",200*(AE39-AF39))</f>
        <v/>
      </c>
      <c r="P39" s="8">
        <f>IF(OR($C39="",F39=""),"",SQRT((J39-INDEX($J$6:$J$45,AG39))^2+(K39-INDEX($K$6:$K$45,AG39))^2+(L39-INDEX($L$6:$L$45,AG39))^2))</f>
        <v/>
      </c>
      <c r="Q39" s="8">
        <f>IF(OR($C39="",F39=""),"",SQRT((M39-INDEX($M$6:$M$45,AG39))^2+(N39-INDEX($N$6:$N$45,AG39))^2+(O39-INDEX($O$6:$O$45,AG39))^2))</f>
        <v/>
      </c>
      <c r="R39" s="8">
        <f>IF(OR($C39="",F39=""),"",SQRT(((AH39-M39)/BA39)^2+((AP39-AO39)/BB39)^2+(AT39/BC39)^2+BD39*((AP39-AO39)/BB39)*(AT39/BC39)))</f>
        <v/>
      </c>
      <c r="T39">
        <f>IF($C39="","",MATCH(B39,Matrices!$A$2:$A$15,0))</f>
        <v/>
      </c>
      <c r="U39">
        <f>IF($C39="","",SQRT(H39^2+I39^2))</f>
        <v/>
      </c>
      <c r="V39">
        <f>IF($C39="","",IF(U39=0,0,MOD(DEGREES(ATAN2(H39,I39)),360)))</f>
        <v/>
      </c>
      <c r="W39">
        <f>IF($C39="","",IF(G39/100&gt;(6/29)^3,(G39/100)^(1/3),(1/3)*(29/6)^2*G39/100+16/116)*116-16)</f>
        <v/>
      </c>
      <c r="X39">
        <f>IF($C39="","",EXP(0.026742553710937*(W39-51.576165618406904))/0.45888671875)</f>
        <v/>
      </c>
      <c r="Y39">
        <f>IF($C39="","",U39/X39)</f>
        <v/>
      </c>
      <c r="Z39">
        <f>IF($C39="","",IF(AND(V39&gt;1,V39&lt;181),SIN(RADIANS(V39-1))^3,0)+IF(AND(V39&gt;104,V39&lt;284),0.39*COS(RADIANS(V39-14))^2,0))</f>
        <v/>
      </c>
      <c r="AA39">
        <f>IF($C39="","",62*(Z39+0.31))</f>
        <v/>
      </c>
      <c r="AB39">
        <f>IF($C39="","",0.36*(Z39+0.19))</f>
        <v/>
      </c>
      <c r="AC39">
        <f>IF($C39="","",AA39*(LN(Y39/80+AB39)-LN(AB39)))</f>
        <v/>
      </c>
      <c r="AD39">
        <f>IF($C39="","",IF(C39/INDEX(Matrices!$D$2:$D$15,T39)&gt;0.008856,(C39/INDEX(Matrices!$D$2:$D$15,T39))^(1/3),7.787*C39/INDEX(Matrices!$D$2:$D$15,T39)+16/116))</f>
        <v/>
      </c>
      <c r="AE39">
        <f>IF($C39="","",IF(D39/INDEX(Matrices!$E$2:$E$15,T39)&gt;0.008856,(D39/INDEX(Matrices!$E$2:$E$15,T39))^(1/3),7.787*D39/INDEX(Matrices!$E$2:$E$15,T39)+16/116))</f>
        <v/>
      </c>
      <c r="AF39">
        <f>IF($C39="","",IF(E39/INDEX(Matrices!$F$2:$F$15,T39)&gt;0.008856,(E39/INDEX(Matrices!$F$2:$F$15,T39))^(1/3),7.787*E39/INDEX(Matrices!$F$2:$F$15,T39)+16/116))</f>
        <v/>
      </c>
      <c r="AG39">
        <f>IF(OR($C39="",F39=""),"",MATCH(F39,$A$6:$A$45,0))</f>
        <v/>
      </c>
      <c r="AH39">
        <f>IF(OR($C39="",F39=""),"",INDEX($M$6:$M$45,AG39))</f>
        <v/>
      </c>
      <c r="AI39">
        <f>IF(OR($C39="",F39=""),"",INDEX($N$6:$N$45,AG39))</f>
        <v/>
      </c>
      <c r="AJ39">
        <f>IF(OR($C39="",F39=""),"",INDEX($O$6:$O$45,AG39))</f>
        <v/>
      </c>
      <c r="AK39">
        <f>IF(OR($C39="",F39=""),"",(SQRT(N39^2+O39^2)+SQRT(AI39^2+AJ39^2))/2)</f>
        <v/>
      </c>
      <c r="AL39">
        <f>IF(OR($C39="",F39=""),"",0.5*(1-SQRT(AK39^7/(AK39^7+25^7))))</f>
        <v/>
      </c>
      <c r="AM39">
        <f>IF(OR($C39="",F39=""),"",(1+AL39)*N39)</f>
        <v/>
      </c>
      <c r="AN39">
        <f>IF(OR($C39="",F39=""),"",(1+AL39)*AI39)</f>
        <v/>
      </c>
      <c r="AO39">
        <f>IF(OR($C39="",F39=""),"",SQRT(AM39^2+O39^2))</f>
        <v/>
      </c>
      <c r="AP39">
        <f>IF(OR($C39="",F39=""),"",SQRT(AN39^2+AJ39^2))</f>
        <v/>
      </c>
      <c r="AQ39">
        <f>IF(OR($C39="",F39=""),"",IF(AO39=0,0,MOD(DEGREES(ATAN2(AM39,O39)),360)))</f>
        <v/>
      </c>
      <c r="AR39">
        <f>IF(OR($C39="",F39=""),"",IF(AP39=0,0,MOD(DEGREES(ATAN2(AN39,AJ39)),360)))</f>
        <v/>
      </c>
      <c r="AS39">
        <f>IF(OR($C39="",F39=""),"",IF(AO39*AP39=0,0,IF((AR39-AQ39)&gt;180,(AR39-AQ39)-360,IF((AR39-AQ39)&lt;-180,(AR39-AQ39)+360,(AR39-AQ39)))))</f>
        <v/>
      </c>
      <c r="AT39">
        <f>IF(OR($C39="",F39=""),"",2*SQRT(AO39*AP39)*SIN(RADIANS(AS39/2)))</f>
        <v/>
      </c>
      <c r="AU39">
        <f>IF(OR($C39="",F39=""),"",(M39+AH39)/2)</f>
        <v/>
      </c>
      <c r="AV39">
        <f>IF(OR($C39="",F39=""),"",(AO39+AP39)/2)</f>
        <v/>
      </c>
      <c r="AW39">
        <f>IF(OR($C39="",F39=""),"",AQ39+AR39)</f>
        <v/>
      </c>
      <c r="AX39">
        <f>IF(OR($C39="",F39=""),"",IF(AO39*AP39=0,AW39,IF(ABS(AQ39-AR39)&gt;180,IF(AW39&lt;360,(AW39+360)/2,(AW39-360)/2),AW39/2)))</f>
        <v/>
      </c>
      <c r="AY39">
        <f>IF(OR($C39="",F39=""),"",1-0.17*COS(RADIANS(AX39-30))+0.24*COS(RADIANS(2*AX39))+0.32*COS(RADIANS(3*AX39+6))-0.2*COS(RADIANS(4*AX39-63)))</f>
        <v/>
      </c>
      <c r="AZ39">
        <f>IF(OR($C39="",F39=""),"",2*SQRT(AV39^7/(AV39^7+25^7)))</f>
        <v/>
      </c>
      <c r="BA39">
        <f>IF(OR($C39="",F39=""),"",1+0.015*(AU39-50)^2/SQRT(20+(AU39-50)^2))</f>
        <v/>
      </c>
      <c r="BB39">
        <f>IF(OR($C39="",F39=""),"",1+0.045*AV39)</f>
        <v/>
      </c>
      <c r="BC39">
        <f>IF(OR($C39="",F39=""),"",1+0.015*AV39*AY39)</f>
        <v/>
      </c>
      <c r="BD39">
        <f>IF(OR($C39="",F39=""),"",-SIN(RADIANS(2*30*EXP(-(((AX39-275)/25)^2))))*AZ39)</f>
        <v/>
      </c>
    </row>
    <row r="40">
      <c r="A40" s="7" t="n"/>
      <c r="B40" s="7" t="n"/>
      <c r="C40" s="7" t="n"/>
      <c r="D40" s="7" t="n"/>
      <c r="E40" s="7" t="n"/>
      <c r="F40" s="7" t="n"/>
      <c r="G40" s="8">
        <f>IF($C40="","",INDEX(Matrices!$G$2:$G$15,T40)*C40+INDEX(Matrices!$H$2:$H$15,T40)*D40+INDEX(Matrices!$I$2:$I$15,T40)*E40)</f>
        <v/>
      </c>
      <c r="H40" s="8">
        <f>IF($C40="","",INDEX(Matrices!$J$2:$J$15,T40)*C40+INDEX(Matrices!$K$2:$K$15,T40)*D40+INDEX(Matrices!$L$2:$L$15,T40)*E40)</f>
        <v/>
      </c>
      <c r="I40" s="8">
        <f>IF($C40="","",INDEX(Matrices!$M$2:$M$15,T40)*C40+INDEX(Matrices!$N$2:$N$15,T40)*D40+INDEX(Matrices!$O$2:$O$15,T40)*E40)</f>
        <v/>
      </c>
      <c r="J40" s="8">
        <f>IF($C40="","",W40)</f>
        <v/>
      </c>
      <c r="K40" s="8">
        <f>IF($C40="","",AC40*COS(RADIANS(V40)))</f>
        <v/>
      </c>
      <c r="L40" s="8">
        <f>IF($C40="","",AC40*SIN(RADIANS(V40)))</f>
        <v/>
      </c>
      <c r="M40" s="8">
        <f>IF($C40="","",116*AE40-16)</f>
        <v/>
      </c>
      <c r="N40" s="8">
        <f>IF($C40="","",500*(AD40-AE40))</f>
        <v/>
      </c>
      <c r="O40" s="8">
        <f>IF($C40="","",200*(AE40-AF40))</f>
        <v/>
      </c>
      <c r="P40" s="8">
        <f>IF(OR($C40="",F40=""),"",SQRT((J40-INDEX($J$6:$J$45,AG40))^2+(K40-INDEX($K$6:$K$45,AG40))^2+(L40-INDEX($L$6:$L$45,AG40))^2))</f>
        <v/>
      </c>
      <c r="Q40" s="8">
        <f>IF(OR($C40="",F40=""),"",SQRT((M40-INDEX($M$6:$M$45,AG40))^2+(N40-INDEX($N$6:$N$45,AG40))^2+(O40-INDEX($O$6:$O$45,AG40))^2))</f>
        <v/>
      </c>
      <c r="R40" s="8">
        <f>IF(OR($C40="",F40=""),"",SQRT(((AH40-M40)/BA40)^2+((AP40-AO40)/BB40)^2+(AT40/BC40)^2+BD40*((AP40-AO40)/BB40)*(AT40/BC40)))</f>
        <v/>
      </c>
      <c r="T40">
        <f>IF($C40="","",MATCH(B40,Matrices!$A$2:$A$15,0))</f>
        <v/>
      </c>
      <c r="U40">
        <f>IF($C40="","",SQRT(H40^2+I40^2))</f>
        <v/>
      </c>
      <c r="V40">
        <f>IF($C40="","",IF(U40=0,0,MOD(DEGREES(ATAN2(H40,I40)),360)))</f>
        <v/>
      </c>
      <c r="W40">
        <f>IF($C40="","",IF(G40/100&gt;(6/29)^3,(G40/100)^(1/3),(1/3)*(29/6)^2*G40/100+16/116)*116-16)</f>
        <v/>
      </c>
      <c r="X40">
        <f>IF($C40="","",EXP(0.026742553710937*(W40-51.576165618406904))/0.45888671875)</f>
        <v/>
      </c>
      <c r="Y40">
        <f>IF($C40="","",U40/X40)</f>
        <v/>
      </c>
      <c r="Z40">
        <f>IF($C40="","",IF(AND(V40&gt;1,V40&lt;181),SIN(RADIANS(V40-1))^3,0)+IF(AND(V40&gt;104,V40&lt;284),0.39*COS(RADIANS(V40-14))^2,0))</f>
        <v/>
      </c>
      <c r="AA40">
        <f>IF($C40="","",62*(Z40+0.31))</f>
        <v/>
      </c>
      <c r="AB40">
        <f>IF($C40="","",0.36*(Z40+0.19))</f>
        <v/>
      </c>
      <c r="AC40">
        <f>IF($C40="","",AA40*(LN(Y40/80+AB40)-LN(AB40)))</f>
        <v/>
      </c>
      <c r="AD40">
        <f>IF($C40="","",IF(C40/INDEX(Matrices!$D$2:$D$15,T40)&gt;0.008856,(C40/INDEX(Matrices!$D$2:$D$15,T40))^(1/3),7.787*C40/INDEX(Matrices!$D$2:$D$15,T40)+16/116))</f>
        <v/>
      </c>
      <c r="AE40">
        <f>IF($C40="","",IF(D40/INDEX(Matrices!$E$2:$E$15,T40)&gt;0.008856,(D40/INDEX(Matrices!$E$2:$E$15,T40))^(1/3),7.787*D40/INDEX(Matrices!$E$2:$E$15,T40)+16/116))</f>
        <v/>
      </c>
      <c r="AF40">
        <f>IF($C40="","",IF(E40/INDEX(Matrices!$F$2:$F$15,T40)&gt;0.008856,(E40/INDEX(Matrices!$F$2:$F$15,T40))^(1/3),7.787*E40/INDEX(Matrices!$F$2:$F$15,T40)+16/116))</f>
        <v/>
      </c>
      <c r="AG40">
        <f>IF(OR($C40="",F40=""),"",MATCH(F40,$A$6:$A$45,0))</f>
        <v/>
      </c>
      <c r="AH40">
        <f>IF(OR($C40="",F40=""),"",INDEX($M$6:$M$45,AG40))</f>
        <v/>
      </c>
      <c r="AI40">
        <f>IF(OR($C40="",F40=""),"",INDEX($N$6:$N$45,AG40))</f>
        <v/>
      </c>
      <c r="AJ40">
        <f>IF(OR($C40="",F40=""),"",INDEX($O$6:$O$45,AG40))</f>
        <v/>
      </c>
      <c r="AK40">
        <f>IF(OR($C40="",F40=""),"",(SQRT(N40^2+O40^2)+SQRT(AI40^2+AJ40^2))/2)</f>
        <v/>
      </c>
      <c r="AL40">
        <f>IF(OR($C40="",F40=""),"",0.5*(1-SQRT(AK40^7/(AK40^7+25^7))))</f>
        <v/>
      </c>
      <c r="AM40">
        <f>IF(OR($C40="",F40=""),"",(1+AL40)*N40)</f>
        <v/>
      </c>
      <c r="AN40">
        <f>IF(OR($C40="",F40=""),"",(1+AL40)*AI40)</f>
        <v/>
      </c>
      <c r="AO40">
        <f>IF(OR($C40="",F40=""),"",SQRT(AM40^2+O40^2))</f>
        <v/>
      </c>
      <c r="AP40">
        <f>IF(OR($C40="",F40=""),"",SQRT(AN40^2+AJ40^2))</f>
        <v/>
      </c>
      <c r="AQ40">
        <f>IF(OR($C40="",F40=""),"",IF(AO40=0,0,MOD(DEGREES(ATAN2(AM40,O40)),360)))</f>
        <v/>
      </c>
      <c r="AR40">
        <f>IF(OR($C40="",F40=""),"",IF(AP40=0,0,MOD(DEGREES(ATAN2(AN40,AJ40)),360)))</f>
        <v/>
      </c>
      <c r="AS40">
        <f>IF(OR($C40="",F40=""),"",IF(AO40*AP40=0,0,IF((AR40-AQ40)&gt;180,(AR40-AQ40)-360,IF((AR40-AQ40)&lt;-180,(AR40-AQ40)+360,(AR40-AQ40)))))</f>
        <v/>
      </c>
      <c r="AT40">
        <f>IF(OR($C40="",F40=""),"",2*SQRT(AO40*AP40)*SIN(RADIANS(AS40/2)))</f>
        <v/>
      </c>
      <c r="AU40">
        <f>IF(OR($C40="",F40=""),"",(M40+AH40)/2)</f>
        <v/>
      </c>
      <c r="AV40">
        <f>IF(OR($C40="",F40=""),"",(AO40+AP40)/2)</f>
        <v/>
      </c>
      <c r="AW40">
        <f>IF(OR($C40="",F40=""),"",AQ40+AR40)</f>
        <v/>
      </c>
      <c r="AX40">
        <f>IF(OR($C40="",F40=""),"",IF(AO40*AP40=0,AW40,IF(ABS(AQ40-AR40)&gt;180,IF(AW40&lt;360,(AW40+360)/2,(AW40-360)/2),AW40/2)))</f>
        <v/>
      </c>
      <c r="AY40">
        <f>IF(OR($C40="",F40=""),"",1-0.17*COS(RADIANS(AX40-30))+0.24*COS(RADIANS(2*AX40))+0.32*COS(RADIANS(3*AX40+6))-0.2*COS(RADIANS(4*AX40-63)))</f>
        <v/>
      </c>
      <c r="AZ40">
        <f>IF(OR($C40="",F40=""),"",2*SQRT(AV40^7/(AV40^7+25^7)))</f>
        <v/>
      </c>
      <c r="BA40">
        <f>IF(OR($C40="",F40=""),"",1+0.015*(AU40-50)^2/SQRT(20+(AU40-50)^2))</f>
        <v/>
      </c>
      <c r="BB40">
        <f>IF(OR($C40="",F40=""),"",1+0.045*AV40)</f>
        <v/>
      </c>
      <c r="BC40">
        <f>IF(OR($C40="",F40=""),"",1+0.015*AV40*AY40)</f>
        <v/>
      </c>
      <c r="BD40">
        <f>IF(OR($C40="",F40=""),"",-SIN(RADIANS(2*30*EXP(-(((AX40-275)/25)^2))))*AZ40)</f>
        <v/>
      </c>
    </row>
    <row r="41">
      <c r="A41" s="7" t="n"/>
      <c r="B41" s="7" t="n"/>
      <c r="C41" s="7" t="n"/>
      <c r="D41" s="7" t="n"/>
      <c r="E41" s="7" t="n"/>
      <c r="F41" s="7" t="n"/>
      <c r="G41" s="8">
        <f>IF($C41="","",INDEX(Matrices!$G$2:$G$15,T41)*C41+INDEX(Matrices!$H$2:$H$15,T41)*D41+INDEX(Matrices!$I$2:$I$15,T41)*E41)</f>
        <v/>
      </c>
      <c r="H41" s="8">
        <f>IF($C41="","",INDEX(Matrices!$J$2:$J$15,T41)*C41+INDEX(Matrices!$K$2:$K$15,T41)*D41+INDEX(Matrices!$L$2:$L$15,T41)*E41)</f>
        <v/>
      </c>
      <c r="I41" s="8">
        <f>IF($C41="","",INDEX(Matrices!$M$2:$M$15,T41)*C41+INDEX(Matrices!$N$2:$N$15,T41)*D41+INDEX(Matrices!$O$2:$O$15,T41)*E41)</f>
        <v/>
      </c>
      <c r="J41" s="8">
        <f>IF($C41="","",W41)</f>
        <v/>
      </c>
      <c r="K41" s="8">
        <f>IF($C41="","",AC41*COS(RADIANS(V41)))</f>
        <v/>
      </c>
      <c r="L41" s="8">
        <f>IF($C41="","",AC41*SIN(RADIANS(V41)))</f>
        <v/>
      </c>
      <c r="M41" s="8">
        <f>IF($C41="","",116*AE41-16)</f>
        <v/>
      </c>
      <c r="N41" s="8">
        <f>IF($C41="","",500*(AD41-AE41))</f>
        <v/>
      </c>
      <c r="O41" s="8">
        <f>IF($C41="","",200*(AE41-AF41))</f>
        <v/>
      </c>
      <c r="P41" s="8">
        <f>IF(OR($C41="",F41=""),"",SQRT((J41-INDEX($J$6:$J$45,AG41))^2+(K41-INDEX($K$6:$K$45,AG41))^2+(L41-INDEX($L$6:$L$45,AG41))^2))</f>
        <v/>
      </c>
      <c r="Q41" s="8">
        <f>IF(OR($C41="",F41=""),"",SQRT((M41-INDEX($M$6:$M$45,AG41))^2+(N41-INDEX($N$6:$N$45,AG41))^2+(O41-INDEX($O$6:$O$45,AG41))^2))</f>
        <v/>
      </c>
      <c r="R41" s="8">
        <f>IF(OR($C41="",F41=""),"",SQRT(((AH41-M41)/BA41)^2+((AP41-AO41)/BB41)^2+(AT41/BC41)^2+BD41*((AP41-AO41)/BB41)*(AT41/BC41)))</f>
        <v/>
      </c>
      <c r="T41">
        <f>IF($C41="","",MATCH(B41,Matrices!$A$2:$A$15,0))</f>
        <v/>
      </c>
      <c r="U41">
        <f>IF($C41="","",SQRT(H41^2+I41^2))</f>
        <v/>
      </c>
      <c r="V41">
        <f>IF($C41="","",IF(U41=0,0,MOD(DEGREES(ATAN2(H41,I41)),360)))</f>
        <v/>
      </c>
      <c r="W41">
        <f>IF($C41="","",IF(G41/100&gt;(6/29)^3,(G41/100)^(1/3),(1/3)*(29/6)^2*G41/100+16/116)*116-16)</f>
        <v/>
      </c>
      <c r="X41">
        <f>IF($C41="","",EXP(0.026742553710937*(W41-51.576165618406904))/0.45888671875)</f>
        <v/>
      </c>
      <c r="Y41">
        <f>IF($C41="","",U41/X41)</f>
        <v/>
      </c>
      <c r="Z41">
        <f>IF($C41="","",IF(AND(V41&gt;1,V41&lt;181),SIN(RADIANS(V41-1))^3,0)+IF(AND(V41&gt;104,V41&lt;284),0.39*COS(RADIANS(V41-14))^2,0))</f>
        <v/>
      </c>
      <c r="AA41">
        <f>IF($C41="","",62*(Z41+0.31))</f>
        <v/>
      </c>
      <c r="AB41">
        <f>IF($C41="","",0.36*(Z41+0.19))</f>
        <v/>
      </c>
      <c r="AC41">
        <f>IF($C41="","",AA41*(LN(Y41/80+AB41)-LN(AB41)))</f>
        <v/>
      </c>
      <c r="AD41">
        <f>IF($C41="","",IF(C41/INDEX(Matrices!$D$2:$D$15,T41)&gt;0.008856,(C41/INDEX(Matrices!$D$2:$D$15,T41))^(1/3),7.787*C41/INDEX(Matrices!$D$2:$D$15,T41)+16/116))</f>
        <v/>
      </c>
      <c r="AE41">
        <f>IF($C41="","",IF(D41/INDEX(Matrices!$E$2:$E$15,T41)&gt;0.008856,(D41/INDEX(Matrices!$E$2:$E$15,T41))^(1/3),7.787*D41/INDEX(Matrices!$E$2:$E$15,T41)+16/116))</f>
        <v/>
      </c>
      <c r="AF41">
        <f>IF($C41="","",IF(E41/INDEX(Matrices!$F$2:$F$15,T41)&gt;0.008856,(E41/INDEX(Matrices!$F$2:$F$15,T41))^(1/3),7.787*E41/INDEX(Matrices!$F$2:$F$15,T41)+16/116))</f>
        <v/>
      </c>
      <c r="AG41">
        <f>IF(OR($C41="",F41=""),"",MATCH(F41,$A$6:$A$45,0))</f>
        <v/>
      </c>
      <c r="AH41">
        <f>IF(OR($C41="",F41=""),"",INDEX($M$6:$M$45,AG41))</f>
        <v/>
      </c>
      <c r="AI41">
        <f>IF(OR($C41="",F41=""),"",INDEX($N$6:$N$45,AG41))</f>
        <v/>
      </c>
      <c r="AJ41">
        <f>IF(OR($C41="",F41=""),"",INDEX($O$6:$O$45,AG41))</f>
        <v/>
      </c>
      <c r="AK41">
        <f>IF(OR($C41="",F41=""),"",(SQRT(N41^2+O41^2)+SQRT(AI41^2+AJ41^2))/2)</f>
        <v/>
      </c>
      <c r="AL41">
        <f>IF(OR($C41="",F41=""),"",0.5*(1-SQRT(AK41^7/(AK41^7+25^7))))</f>
        <v/>
      </c>
      <c r="AM41">
        <f>IF(OR($C41="",F41=""),"",(1+AL41)*N41)</f>
        <v/>
      </c>
      <c r="AN41">
        <f>IF(OR($C41="",F41=""),"",(1+AL41)*AI41)</f>
        <v/>
      </c>
      <c r="AO41">
        <f>IF(OR($C41="",F41=""),"",SQRT(AM41^2+O41^2))</f>
        <v/>
      </c>
      <c r="AP41">
        <f>IF(OR($C41="",F41=""),"",SQRT(AN41^2+AJ41^2))</f>
        <v/>
      </c>
      <c r="AQ41">
        <f>IF(OR($C41="",F41=""),"",IF(AO41=0,0,MOD(DEGREES(ATAN2(AM41,O41)),360)))</f>
        <v/>
      </c>
      <c r="AR41">
        <f>IF(OR($C41="",F41=""),"",IF(AP41=0,0,MOD(DEGREES(ATAN2(AN41,AJ41)),360)))</f>
        <v/>
      </c>
      <c r="AS41">
        <f>IF(OR($C41="",F41=""),"",IF(AO41*AP41=0,0,IF((AR41-AQ41)&gt;180,(AR41-AQ41)-360,IF((AR41-AQ41)&lt;-180,(AR41-AQ41)+360,(AR41-AQ41)))))</f>
        <v/>
      </c>
      <c r="AT41">
        <f>IF(OR($C41="",F41=""),"",2*SQRT(AO41*AP41)*SIN(RADIANS(AS41/2)))</f>
        <v/>
      </c>
      <c r="AU41">
        <f>IF(OR($C41="",F41=""),"",(M41+AH41)/2)</f>
        <v/>
      </c>
      <c r="AV41">
        <f>IF(OR($C41="",F41=""),"",(AO41+AP41)/2)</f>
        <v/>
      </c>
      <c r="AW41">
        <f>IF(OR($C41="",F41=""),"",AQ41+AR41)</f>
        <v/>
      </c>
      <c r="AX41">
        <f>IF(OR($C41="",F41=""),"",IF(AO41*AP41=0,AW41,IF(ABS(AQ41-AR41)&gt;180,IF(AW41&lt;360,(AW41+360)/2,(AW41-360)/2),AW41/2)))</f>
        <v/>
      </c>
      <c r="AY41">
        <f>IF(OR($C41="",F41=""),"",1-0.17*COS(RADIANS(AX41-30))+0.24*COS(RADIANS(2*AX41))+0.32*COS(RADIANS(3*AX41+6))-0.2*COS(RADIANS(4*AX41-63)))</f>
        <v/>
      </c>
      <c r="AZ41">
        <f>IF(OR($C41="",F41=""),"",2*SQRT(AV41^7/(AV41^7+25^7)))</f>
        <v/>
      </c>
      <c r="BA41">
        <f>IF(OR($C41="",F41=""),"",1+0.015*(AU41-50)^2/SQRT(20+(AU41-50)^2))</f>
        <v/>
      </c>
      <c r="BB41">
        <f>IF(OR($C41="",F41=""),"",1+0.045*AV41)</f>
        <v/>
      </c>
      <c r="BC41">
        <f>IF(OR($C41="",F41=""),"",1+0.015*AV41*AY41)</f>
        <v/>
      </c>
      <c r="BD41">
        <f>IF(OR($C41="",F41=""),"",-SIN(RADIANS(2*30*EXP(-(((AX41-275)/25)^2))))*AZ41)</f>
        <v/>
      </c>
    </row>
    <row r="42">
      <c r="A42" s="7" t="n"/>
      <c r="B42" s="7" t="n"/>
      <c r="C42" s="7" t="n"/>
      <c r="D42" s="7" t="n"/>
      <c r="E42" s="7" t="n"/>
      <c r="F42" s="7" t="n"/>
      <c r="G42" s="8">
        <f>IF($C42="","",INDEX(Matrices!$G$2:$G$15,T42)*C42+INDEX(Matrices!$H$2:$H$15,T42)*D42+INDEX(Matrices!$I$2:$I$15,T42)*E42)</f>
        <v/>
      </c>
      <c r="H42" s="8">
        <f>IF($C42="","",INDEX(Matrices!$J$2:$J$15,T42)*C42+INDEX(Matrices!$K$2:$K$15,T42)*D42+INDEX(Matrices!$L$2:$L$15,T42)*E42)</f>
        <v/>
      </c>
      <c r="I42" s="8">
        <f>IF($C42="","",INDEX(Matrices!$M$2:$M$15,T42)*C42+INDEX(Matrices!$N$2:$N$15,T42)*D42+INDEX(Matrices!$O$2:$O$15,T42)*E42)</f>
        <v/>
      </c>
      <c r="J42" s="8">
        <f>IF($C42="","",W42)</f>
        <v/>
      </c>
      <c r="K42" s="8">
        <f>IF($C42="","",AC42*COS(RADIANS(V42)))</f>
        <v/>
      </c>
      <c r="L42" s="8">
        <f>IF($C42="","",AC42*SIN(RADIANS(V42)))</f>
        <v/>
      </c>
      <c r="M42" s="8">
        <f>IF($C42="","",116*AE42-16)</f>
        <v/>
      </c>
      <c r="N42" s="8">
        <f>IF($C42="","",500*(AD42-AE42))</f>
        <v/>
      </c>
      <c r="O42" s="8">
        <f>IF($C42="","",200*(AE42-AF42))</f>
        <v/>
      </c>
      <c r="P42" s="8">
        <f>IF(OR($C42="",F42=""),"",SQRT((J42-INDEX($J$6:$J$45,AG42))^2+(K42-INDEX($K$6:$K$45,AG42))^2+(L42-INDEX($L$6:$L$45,AG42))^2))</f>
        <v/>
      </c>
      <c r="Q42" s="8">
        <f>IF(OR($C42="",F42=""),"",SQRT((M42-INDEX($M$6:$M$45,AG42))^2+(N42-INDEX($N$6:$N$45,AG42))^2+(O42-INDEX($O$6:$O$45,AG42))^2))</f>
        <v/>
      </c>
      <c r="R42" s="8">
        <f>IF(OR($C42="",F42=""),"",SQRT(((AH42-M42)/BA42)^2+((AP42-AO42)/BB42)^2+(AT42/BC42)^2+BD42*((AP42-AO42)/BB42)*(AT42/BC42)))</f>
        <v/>
      </c>
      <c r="T42">
        <f>IF($C42="","",MATCH(B42,Matrices!$A$2:$A$15,0))</f>
        <v/>
      </c>
      <c r="U42">
        <f>IF($C42="","",SQRT(H42^2+I42^2))</f>
        <v/>
      </c>
      <c r="V42">
        <f>IF($C42="","",IF(U42=0,0,MOD(DEGREES(ATAN2(H42,I42)),360)))</f>
        <v/>
      </c>
      <c r="W42">
        <f>IF($C42="","",IF(G42/100&gt;(6/29)^3,(G42/100)^(1/3),(1/3)*(29/6)^2*G42/100+16/116)*116-16)</f>
        <v/>
      </c>
      <c r="X42">
        <f>IF($C42="","",EXP(0.026742553710937*(W42-51.576165618406904))/0.45888671875)</f>
        <v/>
      </c>
      <c r="Y42">
        <f>IF($C42="","",U42/X42)</f>
        <v/>
      </c>
      <c r="Z42">
        <f>IF($C42="","",IF(AND(V42&gt;1,V42&lt;181),SIN(RADIANS(V42-1))^3,0)+IF(AND(V42&gt;104,V42&lt;284),0.39*COS(RADIANS(V42-14))^2,0))</f>
        <v/>
      </c>
      <c r="AA42">
        <f>IF($C42="","",62*(Z42+0.31))</f>
        <v/>
      </c>
      <c r="AB42">
        <f>IF($C42="","",0.36*(Z42+0.19))</f>
        <v/>
      </c>
      <c r="AC42">
        <f>IF($C42="","",AA42*(LN(Y42/80+AB42)-LN(AB42)))</f>
        <v/>
      </c>
      <c r="AD42">
        <f>IF($C42="","",IF(C42/INDEX(Matrices!$D$2:$D$15,T42)&gt;0.008856,(C42/INDEX(Matrices!$D$2:$D$15,T42))^(1/3),7.787*C42/INDEX(Matrices!$D$2:$D$15,T42)+16/116))</f>
        <v/>
      </c>
      <c r="AE42">
        <f>IF($C42="","",IF(D42/INDEX(Matrices!$E$2:$E$15,T42)&gt;0.008856,(D42/INDEX(Matrices!$E$2:$E$15,T42))^(1/3),7.787*D42/INDEX(Matrices!$E$2:$E$15,T42)+16/116))</f>
        <v/>
      </c>
      <c r="AF42">
        <f>IF($C42="","",IF(E42/INDEX(Matrices!$F$2:$F$15,T42)&gt;0.008856,(E42/INDEX(Matrices!$F$2:$F$15,T42))^(1/3),7.787*E42/INDEX(Matrices!$F$2:$F$15,T42)+16/116))</f>
        <v/>
      </c>
      <c r="AG42">
        <f>IF(OR($C42="",F42=""),"",MATCH(F42,$A$6:$A$45,0))</f>
        <v/>
      </c>
      <c r="AH42">
        <f>IF(OR($C42="",F42=""),"",INDEX($M$6:$M$45,AG42))</f>
        <v/>
      </c>
      <c r="AI42">
        <f>IF(OR($C42="",F42=""),"",INDEX($N$6:$N$45,AG42))</f>
        <v/>
      </c>
      <c r="AJ42">
        <f>IF(OR($C42="",F42=""),"",INDEX($O$6:$O$45,AG42))</f>
        <v/>
      </c>
      <c r="AK42">
        <f>IF(OR($C42="",F42=""),"",(SQRT(N42^2+O42^2)+SQRT(AI42^2+AJ42^2))/2)</f>
        <v/>
      </c>
      <c r="AL42">
        <f>IF(OR($C42="",F42=""),"",0.5*(1-SQRT(AK42^7/(AK42^7+25^7))))</f>
        <v/>
      </c>
      <c r="AM42">
        <f>IF(OR($C42="",F42=""),"",(1+AL42)*N42)</f>
        <v/>
      </c>
      <c r="AN42">
        <f>IF(OR($C42="",F42=""),"",(1+AL42)*AI42)</f>
        <v/>
      </c>
      <c r="AO42">
        <f>IF(OR($C42="",F42=""),"",SQRT(AM42^2+O42^2))</f>
        <v/>
      </c>
      <c r="AP42">
        <f>IF(OR($C42="",F42=""),"",SQRT(AN42^2+AJ42^2))</f>
        <v/>
      </c>
      <c r="AQ42">
        <f>IF(OR($C42="",F42=""),"",IF(AO42=0,0,MOD(DEGREES(ATAN2(AM42,O42)),360)))</f>
        <v/>
      </c>
      <c r="AR42">
        <f>IF(OR($C42="",F42=""),"",IF(AP42=0,0,MOD(DEGREES(ATAN2(AN42,AJ42)),360)))</f>
        <v/>
      </c>
      <c r="AS42">
        <f>IF(OR($C42="",F42=""),"",IF(AO42*AP42=0,0,IF((AR42-AQ42)&gt;180,(AR42-AQ42)-360,IF((AR42-AQ42)&lt;-180,(AR42-AQ42)+360,(AR42-AQ42)))))</f>
        <v/>
      </c>
      <c r="AT42">
        <f>IF(OR($C42="",F42=""),"",2*SQRT(AO42*AP42)*SIN(RADIANS(AS42/2)))</f>
        <v/>
      </c>
      <c r="AU42">
        <f>IF(OR($C42="",F42=""),"",(M42+AH42)/2)</f>
        <v/>
      </c>
      <c r="AV42">
        <f>IF(OR($C42="",F42=""),"",(AO42+AP42)/2)</f>
        <v/>
      </c>
      <c r="AW42">
        <f>IF(OR($C42="",F42=""),"",AQ42+AR42)</f>
        <v/>
      </c>
      <c r="AX42">
        <f>IF(OR($C42="",F42=""),"",IF(AO42*AP42=0,AW42,IF(ABS(AQ42-AR42)&gt;180,IF(AW42&lt;360,(AW42+360)/2,(AW42-360)/2),AW42/2)))</f>
        <v/>
      </c>
      <c r="AY42">
        <f>IF(OR($C42="",F42=""),"",1-0.17*COS(RADIANS(AX42-30))+0.24*COS(RADIANS(2*AX42))+0.32*COS(RADIANS(3*AX42+6))-0.2*COS(RADIANS(4*AX42-63)))</f>
        <v/>
      </c>
      <c r="AZ42">
        <f>IF(OR($C42="",F42=""),"",2*SQRT(AV42^7/(AV42^7+25^7)))</f>
        <v/>
      </c>
      <c r="BA42">
        <f>IF(OR($C42="",F42=""),"",1+0.015*(AU42-50)^2/SQRT(20+(AU42-50)^2))</f>
        <v/>
      </c>
      <c r="BB42">
        <f>IF(OR($C42="",F42=""),"",1+0.045*AV42)</f>
        <v/>
      </c>
      <c r="BC42">
        <f>IF(OR($C42="",F42=""),"",1+0.015*AV42*AY42)</f>
        <v/>
      </c>
      <c r="BD42">
        <f>IF(OR($C42="",F42=""),"",-SIN(RADIANS(2*30*EXP(-(((AX42-275)/25)^2))))*AZ42)</f>
        <v/>
      </c>
    </row>
    <row r="43">
      <c r="A43" s="7" t="n"/>
      <c r="B43" s="7" t="n"/>
      <c r="C43" s="7" t="n"/>
      <c r="D43" s="7" t="n"/>
      <c r="E43" s="7" t="n"/>
      <c r="F43" s="7" t="n"/>
      <c r="G43" s="8">
        <f>IF($C43="","",INDEX(Matrices!$G$2:$G$15,T43)*C43+INDEX(Matrices!$H$2:$H$15,T43)*D43+INDEX(Matrices!$I$2:$I$15,T43)*E43)</f>
        <v/>
      </c>
      <c r="H43" s="8">
        <f>IF($C43="","",INDEX(Matrices!$J$2:$J$15,T43)*C43+INDEX(Matrices!$K$2:$K$15,T43)*D43+INDEX(Matrices!$L$2:$L$15,T43)*E43)</f>
        <v/>
      </c>
      <c r="I43" s="8">
        <f>IF($C43="","",INDEX(Matrices!$M$2:$M$15,T43)*C43+INDEX(Matrices!$N$2:$N$15,T43)*D43+INDEX(Matrices!$O$2:$O$15,T43)*E43)</f>
        <v/>
      </c>
      <c r="J43" s="8">
        <f>IF($C43="","",W43)</f>
        <v/>
      </c>
      <c r="K43" s="8">
        <f>IF($C43="","",AC43*COS(RADIANS(V43)))</f>
        <v/>
      </c>
      <c r="L43" s="8">
        <f>IF($C43="","",AC43*SIN(RADIANS(V43)))</f>
        <v/>
      </c>
      <c r="M43" s="8">
        <f>IF($C43="","",116*AE43-16)</f>
        <v/>
      </c>
      <c r="N43" s="8">
        <f>IF($C43="","",500*(AD43-AE43))</f>
        <v/>
      </c>
      <c r="O43" s="8">
        <f>IF($C43="","",200*(AE43-AF43))</f>
        <v/>
      </c>
      <c r="P43" s="8">
        <f>IF(OR($C43="",F43=""),"",SQRT((J43-INDEX($J$6:$J$45,AG43))^2+(K43-INDEX($K$6:$K$45,AG43))^2+(L43-INDEX($L$6:$L$45,AG43))^2))</f>
        <v/>
      </c>
      <c r="Q43" s="8">
        <f>IF(OR($C43="",F43=""),"",SQRT((M43-INDEX($M$6:$M$45,AG43))^2+(N43-INDEX($N$6:$N$45,AG43))^2+(O43-INDEX($O$6:$O$45,AG43))^2))</f>
        <v/>
      </c>
      <c r="R43" s="8">
        <f>IF(OR($C43="",F43=""),"",SQRT(((AH43-M43)/BA43)^2+((AP43-AO43)/BB43)^2+(AT43/BC43)^2+BD43*((AP43-AO43)/BB43)*(AT43/BC43)))</f>
        <v/>
      </c>
      <c r="T43">
        <f>IF($C43="","",MATCH(B43,Matrices!$A$2:$A$15,0))</f>
        <v/>
      </c>
      <c r="U43">
        <f>IF($C43="","",SQRT(H43^2+I43^2))</f>
        <v/>
      </c>
      <c r="V43">
        <f>IF($C43="","",IF(U43=0,0,MOD(DEGREES(ATAN2(H43,I43)),360)))</f>
        <v/>
      </c>
      <c r="W43">
        <f>IF($C43="","",IF(G43/100&gt;(6/29)^3,(G43/100)^(1/3),(1/3)*(29/6)^2*G43/100+16/116)*116-16)</f>
        <v/>
      </c>
      <c r="X43">
        <f>IF($C43="","",EXP(0.026742553710937*(W43-51.576165618406904))/0.45888671875)</f>
        <v/>
      </c>
      <c r="Y43">
        <f>IF($C43="","",U43/X43)</f>
        <v/>
      </c>
      <c r="Z43">
        <f>IF($C43="","",IF(AND(V43&gt;1,V43&lt;181),SIN(RADIANS(V43-1))^3,0)+IF(AND(V43&gt;104,V43&lt;284),0.39*COS(RADIANS(V43-14))^2,0))</f>
        <v/>
      </c>
      <c r="AA43">
        <f>IF($C43="","",62*(Z43+0.31))</f>
        <v/>
      </c>
      <c r="AB43">
        <f>IF($C43="","",0.36*(Z43+0.19))</f>
        <v/>
      </c>
      <c r="AC43">
        <f>IF($C43="","",AA43*(LN(Y43/80+AB43)-LN(AB43)))</f>
        <v/>
      </c>
      <c r="AD43">
        <f>IF($C43="","",IF(C43/INDEX(Matrices!$D$2:$D$15,T43)&gt;0.008856,(C43/INDEX(Matrices!$D$2:$D$15,T43))^(1/3),7.787*C43/INDEX(Matrices!$D$2:$D$15,T43)+16/116))</f>
        <v/>
      </c>
      <c r="AE43">
        <f>IF($C43="","",IF(D43/INDEX(Matrices!$E$2:$E$15,T43)&gt;0.008856,(D43/INDEX(Matrices!$E$2:$E$15,T43))^(1/3),7.787*D43/INDEX(Matrices!$E$2:$E$15,T43)+16/116))</f>
        <v/>
      </c>
      <c r="AF43">
        <f>IF($C43="","",IF(E43/INDEX(Matrices!$F$2:$F$15,T43)&gt;0.008856,(E43/INDEX(Matrices!$F$2:$F$15,T43))^(1/3),7.787*E43/INDEX(Matrices!$F$2:$F$15,T43)+16/116))</f>
        <v/>
      </c>
      <c r="AG43">
        <f>IF(OR($C43="",F43=""),"",MATCH(F43,$A$6:$A$45,0))</f>
        <v/>
      </c>
      <c r="AH43">
        <f>IF(OR($C43="",F43=""),"",INDEX($M$6:$M$45,AG43))</f>
        <v/>
      </c>
      <c r="AI43">
        <f>IF(OR($C43="",F43=""),"",INDEX($N$6:$N$45,AG43))</f>
        <v/>
      </c>
      <c r="AJ43">
        <f>IF(OR($C43="",F43=""),"",INDEX($O$6:$O$45,AG43))</f>
        <v/>
      </c>
      <c r="AK43">
        <f>IF(OR($C43="",F43=""),"",(SQRT(N43^2+O43^2)+SQRT(AI43^2+AJ43^2))/2)</f>
        <v/>
      </c>
      <c r="AL43">
        <f>IF(OR($C43="",F43=""),"",0.5*(1-SQRT(AK43^7/(AK43^7+25^7))))</f>
        <v/>
      </c>
      <c r="AM43">
        <f>IF(OR($C43="",F43=""),"",(1+AL43)*N43)</f>
        <v/>
      </c>
      <c r="AN43">
        <f>IF(OR($C43="",F43=""),"",(1+AL43)*AI43)</f>
        <v/>
      </c>
      <c r="AO43">
        <f>IF(OR($C43="",F43=""),"",SQRT(AM43^2+O43^2))</f>
        <v/>
      </c>
      <c r="AP43">
        <f>IF(OR($C43="",F43=""),"",SQRT(AN43^2+AJ43^2))</f>
        <v/>
      </c>
      <c r="AQ43">
        <f>IF(OR($C43="",F43=""),"",IF(AO43=0,0,MOD(DEGREES(ATAN2(AM43,O43)),360)))</f>
        <v/>
      </c>
      <c r="AR43">
        <f>IF(OR($C43="",F43=""),"",IF(AP43=0,0,MOD(DEGREES(ATAN2(AN43,AJ43)),360)))</f>
        <v/>
      </c>
      <c r="AS43">
        <f>IF(OR($C43="",F43=""),"",IF(AO43*AP43=0,0,IF((AR43-AQ43)&gt;180,(AR43-AQ43)-360,IF((AR43-AQ43)&lt;-180,(AR43-AQ43)+360,(AR43-AQ43)))))</f>
        <v/>
      </c>
      <c r="AT43">
        <f>IF(OR($C43="",F43=""),"",2*SQRT(AO43*AP43)*SIN(RADIANS(AS43/2)))</f>
        <v/>
      </c>
      <c r="AU43">
        <f>IF(OR($C43="",F43=""),"",(M43+AH43)/2)</f>
        <v/>
      </c>
      <c r="AV43">
        <f>IF(OR($C43="",F43=""),"",(AO43+AP43)/2)</f>
        <v/>
      </c>
      <c r="AW43">
        <f>IF(OR($C43="",F43=""),"",AQ43+AR43)</f>
        <v/>
      </c>
      <c r="AX43">
        <f>IF(OR($C43="",F43=""),"",IF(AO43*AP43=0,AW43,IF(ABS(AQ43-AR43)&gt;180,IF(AW43&lt;360,(AW43+360)/2,(AW43-360)/2),AW43/2)))</f>
        <v/>
      </c>
      <c r="AY43">
        <f>IF(OR($C43="",F43=""),"",1-0.17*COS(RADIANS(AX43-30))+0.24*COS(RADIANS(2*AX43))+0.32*COS(RADIANS(3*AX43+6))-0.2*COS(RADIANS(4*AX43-63)))</f>
        <v/>
      </c>
      <c r="AZ43">
        <f>IF(OR($C43="",F43=""),"",2*SQRT(AV43^7/(AV43^7+25^7)))</f>
        <v/>
      </c>
      <c r="BA43">
        <f>IF(OR($C43="",F43=""),"",1+0.015*(AU43-50)^2/SQRT(20+(AU43-50)^2))</f>
        <v/>
      </c>
      <c r="BB43">
        <f>IF(OR($C43="",F43=""),"",1+0.045*AV43)</f>
        <v/>
      </c>
      <c r="BC43">
        <f>IF(OR($C43="",F43=""),"",1+0.015*AV43*AY43)</f>
        <v/>
      </c>
      <c r="BD43">
        <f>IF(OR($C43="",F43=""),"",-SIN(RADIANS(2*30*EXP(-(((AX43-275)/25)^2))))*AZ43)</f>
        <v/>
      </c>
    </row>
    <row r="44">
      <c r="A44" s="7" t="n"/>
      <c r="B44" s="7" t="n"/>
      <c r="C44" s="7" t="n"/>
      <c r="D44" s="7" t="n"/>
      <c r="E44" s="7" t="n"/>
      <c r="F44" s="7" t="n"/>
      <c r="G44" s="8">
        <f>IF($C44="","",INDEX(Matrices!$G$2:$G$15,T44)*C44+INDEX(Matrices!$H$2:$H$15,T44)*D44+INDEX(Matrices!$I$2:$I$15,T44)*E44)</f>
        <v/>
      </c>
      <c r="H44" s="8">
        <f>IF($C44="","",INDEX(Matrices!$J$2:$J$15,T44)*C44+INDEX(Matrices!$K$2:$K$15,T44)*D44+INDEX(Matrices!$L$2:$L$15,T44)*E44)</f>
        <v/>
      </c>
      <c r="I44" s="8">
        <f>IF($C44="","",INDEX(Matrices!$M$2:$M$15,T44)*C44+INDEX(Matrices!$N$2:$N$15,T44)*D44+INDEX(Matrices!$O$2:$O$15,T44)*E44)</f>
        <v/>
      </c>
      <c r="J44" s="8">
        <f>IF($C44="","",W44)</f>
        <v/>
      </c>
      <c r="K44" s="8">
        <f>IF($C44="","",AC44*COS(RADIANS(V44)))</f>
        <v/>
      </c>
      <c r="L44" s="8">
        <f>IF($C44="","",AC44*SIN(RADIANS(V44)))</f>
        <v/>
      </c>
      <c r="M44" s="8">
        <f>IF($C44="","",116*AE44-16)</f>
        <v/>
      </c>
      <c r="N44" s="8">
        <f>IF($C44="","",500*(AD44-AE44))</f>
        <v/>
      </c>
      <c r="O44" s="8">
        <f>IF($C44="","",200*(AE44-AF44))</f>
        <v/>
      </c>
      <c r="P44" s="8">
        <f>IF(OR($C44="",F44=""),"",SQRT((J44-INDEX($J$6:$J$45,AG44))^2+(K44-INDEX($K$6:$K$45,AG44))^2+(L44-INDEX($L$6:$L$45,AG44))^2))</f>
        <v/>
      </c>
      <c r="Q44" s="8">
        <f>IF(OR($C44="",F44=""),"",SQRT((M44-INDEX($M$6:$M$45,AG44))^2+(N44-INDEX($N$6:$N$45,AG44))^2+(O44-INDEX($O$6:$O$45,AG44))^2))</f>
        <v/>
      </c>
      <c r="R44" s="8">
        <f>IF(OR($C44="",F44=""),"",SQRT(((AH44-M44)/BA44)^2+((AP44-AO44)/BB44)^2+(AT44/BC44)^2+BD44*((AP44-AO44)/BB44)*(AT44/BC44)))</f>
        <v/>
      </c>
      <c r="T44">
        <f>IF($C44="","",MATCH(B44,Matrices!$A$2:$A$15,0))</f>
        <v/>
      </c>
      <c r="U44">
        <f>IF($C44="","",SQRT(H44^2+I44^2))</f>
        <v/>
      </c>
      <c r="V44">
        <f>IF($C44="","",IF(U44=0,0,MOD(DEGREES(ATAN2(H44,I44)),360)))</f>
        <v/>
      </c>
      <c r="W44">
        <f>IF($C44="","",IF(G44/100&gt;(6/29)^3,(G44/100)^(1/3),(1/3)*(29/6)^2*G44/100+16/116)*116-16)</f>
        <v/>
      </c>
      <c r="X44">
        <f>IF($C44="","",EXP(0.026742553710937*(W44-51.576165618406904))/0.45888671875)</f>
        <v/>
      </c>
      <c r="Y44">
        <f>IF($C44="","",U44/X44)</f>
        <v/>
      </c>
      <c r="Z44">
        <f>IF($C44="","",IF(AND(V44&gt;1,V44&lt;181),SIN(RADIANS(V44-1))^3,0)+IF(AND(V44&gt;104,V44&lt;284),0.39*COS(RADIANS(V44-14))^2,0))</f>
        <v/>
      </c>
      <c r="AA44">
        <f>IF($C44="","",62*(Z44+0.31))</f>
        <v/>
      </c>
      <c r="AB44">
        <f>IF($C44="","",0.36*(Z44+0.19))</f>
        <v/>
      </c>
      <c r="AC44">
        <f>IF($C44="","",AA44*(LN(Y44/80+AB44)-LN(AB44)))</f>
        <v/>
      </c>
      <c r="AD44">
        <f>IF($C44="","",IF(C44/INDEX(Matrices!$D$2:$D$15,T44)&gt;0.008856,(C44/INDEX(Matrices!$D$2:$D$15,T44))^(1/3),7.787*C44/INDEX(Matrices!$D$2:$D$15,T44)+16/116))</f>
        <v/>
      </c>
      <c r="AE44">
        <f>IF($C44="","",IF(D44/INDEX(Matrices!$E$2:$E$15,T44)&gt;0.008856,(D44/INDEX(Matrices!$E$2:$E$15,T44))^(1/3),7.787*D44/INDEX(Matrices!$E$2:$E$15,T44)+16/116))</f>
        <v/>
      </c>
      <c r="AF44">
        <f>IF($C44="","",IF(E44/INDEX(Matrices!$F$2:$F$15,T44)&gt;0.008856,(E44/INDEX(Matrices!$F$2:$F$15,T44))^(1/3),7.787*E44/INDEX(Matrices!$F$2:$F$15,T44)+16/116))</f>
        <v/>
      </c>
      <c r="AG44">
        <f>IF(OR($C44="",F44=""),"",MATCH(F44,$A$6:$A$45,0))</f>
        <v/>
      </c>
      <c r="AH44">
        <f>IF(OR($C44="",F44=""),"",INDEX($M$6:$M$45,AG44))</f>
        <v/>
      </c>
      <c r="AI44">
        <f>IF(OR($C44="",F44=""),"",INDEX($N$6:$N$45,AG44))</f>
        <v/>
      </c>
      <c r="AJ44">
        <f>IF(OR($C44="",F44=""),"",INDEX($O$6:$O$45,AG44))</f>
        <v/>
      </c>
      <c r="AK44">
        <f>IF(OR($C44="",F44=""),"",(SQRT(N44^2+O44^2)+SQRT(AI44^2+AJ44^2))/2)</f>
        <v/>
      </c>
      <c r="AL44">
        <f>IF(OR($C44="",F44=""),"",0.5*(1-SQRT(AK44^7/(AK44^7+25^7))))</f>
        <v/>
      </c>
      <c r="AM44">
        <f>IF(OR($C44="",F44=""),"",(1+AL44)*N44)</f>
        <v/>
      </c>
      <c r="AN44">
        <f>IF(OR($C44="",F44=""),"",(1+AL44)*AI44)</f>
        <v/>
      </c>
      <c r="AO44">
        <f>IF(OR($C44="",F44=""),"",SQRT(AM44^2+O44^2))</f>
        <v/>
      </c>
      <c r="AP44">
        <f>IF(OR($C44="",F44=""),"",SQRT(AN44^2+AJ44^2))</f>
        <v/>
      </c>
      <c r="AQ44">
        <f>IF(OR($C44="",F44=""),"",IF(AO44=0,0,MOD(DEGREES(ATAN2(AM44,O44)),360)))</f>
        <v/>
      </c>
      <c r="AR44">
        <f>IF(OR($C44="",F44=""),"",IF(AP44=0,0,MOD(DEGREES(ATAN2(AN44,AJ44)),360)))</f>
        <v/>
      </c>
      <c r="AS44">
        <f>IF(OR($C44="",F44=""),"",IF(AO44*AP44=0,0,IF((AR44-AQ44)&gt;180,(AR44-AQ44)-360,IF((AR44-AQ44)&lt;-180,(AR44-AQ44)+360,(AR44-AQ44)))))</f>
        <v/>
      </c>
      <c r="AT44">
        <f>IF(OR($C44="",F44=""),"",2*SQRT(AO44*AP44)*SIN(RADIANS(AS44/2)))</f>
        <v/>
      </c>
      <c r="AU44">
        <f>IF(OR($C44="",F44=""),"",(M44+AH44)/2)</f>
        <v/>
      </c>
      <c r="AV44">
        <f>IF(OR($C44="",F44=""),"",(AO44+AP44)/2)</f>
        <v/>
      </c>
      <c r="AW44">
        <f>IF(OR($C44="",F44=""),"",AQ44+AR44)</f>
        <v/>
      </c>
      <c r="AX44">
        <f>IF(OR($C44="",F44=""),"",IF(AO44*AP44=0,AW44,IF(ABS(AQ44-AR44)&gt;180,IF(AW44&lt;360,(AW44+360)/2,(AW44-360)/2),AW44/2)))</f>
        <v/>
      </c>
      <c r="AY44">
        <f>IF(OR($C44="",F44=""),"",1-0.17*COS(RADIANS(AX44-30))+0.24*COS(RADIANS(2*AX44))+0.32*COS(RADIANS(3*AX44+6))-0.2*COS(RADIANS(4*AX44-63)))</f>
        <v/>
      </c>
      <c r="AZ44">
        <f>IF(OR($C44="",F44=""),"",2*SQRT(AV44^7/(AV44^7+25^7)))</f>
        <v/>
      </c>
      <c r="BA44">
        <f>IF(OR($C44="",F44=""),"",1+0.015*(AU44-50)^2/SQRT(20+(AU44-50)^2))</f>
        <v/>
      </c>
      <c r="BB44">
        <f>IF(OR($C44="",F44=""),"",1+0.045*AV44)</f>
        <v/>
      </c>
      <c r="BC44">
        <f>IF(OR($C44="",F44=""),"",1+0.015*AV44*AY44)</f>
        <v/>
      </c>
      <c r="BD44">
        <f>IF(OR($C44="",F44=""),"",-SIN(RADIANS(2*30*EXP(-(((AX44-275)/25)^2))))*AZ44)</f>
        <v/>
      </c>
    </row>
    <row r="45">
      <c r="A45" s="7" t="n"/>
      <c r="B45" s="7" t="n"/>
      <c r="C45" s="7" t="n"/>
      <c r="D45" s="7" t="n"/>
      <c r="E45" s="7" t="n"/>
      <c r="F45" s="7" t="n"/>
      <c r="G45" s="8">
        <f>IF($C45="","",INDEX(Matrices!$G$2:$G$15,T45)*C45+INDEX(Matrices!$H$2:$H$15,T45)*D45+INDEX(Matrices!$I$2:$I$15,T45)*E45)</f>
        <v/>
      </c>
      <c r="H45" s="8">
        <f>IF($C45="","",INDEX(Matrices!$J$2:$J$15,T45)*C45+INDEX(Matrices!$K$2:$K$15,T45)*D45+INDEX(Matrices!$L$2:$L$15,T45)*E45)</f>
        <v/>
      </c>
      <c r="I45" s="8">
        <f>IF($C45="","",INDEX(Matrices!$M$2:$M$15,T45)*C45+INDEX(Matrices!$N$2:$N$15,T45)*D45+INDEX(Matrices!$O$2:$O$15,T45)*E45)</f>
        <v/>
      </c>
      <c r="J45" s="8">
        <f>IF($C45="","",W45)</f>
        <v/>
      </c>
      <c r="K45" s="8">
        <f>IF($C45="","",AC45*COS(RADIANS(V45)))</f>
        <v/>
      </c>
      <c r="L45" s="8">
        <f>IF($C45="","",AC45*SIN(RADIANS(V45)))</f>
        <v/>
      </c>
      <c r="M45" s="8">
        <f>IF($C45="","",116*AE45-16)</f>
        <v/>
      </c>
      <c r="N45" s="8">
        <f>IF($C45="","",500*(AD45-AE45))</f>
        <v/>
      </c>
      <c r="O45" s="8">
        <f>IF($C45="","",200*(AE45-AF45))</f>
        <v/>
      </c>
      <c r="P45" s="8">
        <f>IF(OR($C45="",F45=""),"",SQRT((J45-INDEX($J$6:$J$45,AG45))^2+(K45-INDEX($K$6:$K$45,AG45))^2+(L45-INDEX($L$6:$L$45,AG45))^2))</f>
        <v/>
      </c>
      <c r="Q45" s="8">
        <f>IF(OR($C45="",F45=""),"",SQRT((M45-INDEX($M$6:$M$45,AG45))^2+(N45-INDEX($N$6:$N$45,AG45))^2+(O45-INDEX($O$6:$O$45,AG45))^2))</f>
        <v/>
      </c>
      <c r="R45" s="8">
        <f>IF(OR($C45="",F45=""),"",SQRT(((AH45-M45)/BA45)^2+((AP45-AO45)/BB45)^2+(AT45/BC45)^2+BD45*((AP45-AO45)/BB45)*(AT45/BC45)))</f>
        <v/>
      </c>
      <c r="T45">
        <f>IF($C45="","",MATCH(B45,Matrices!$A$2:$A$15,0))</f>
        <v/>
      </c>
      <c r="U45">
        <f>IF($C45="","",SQRT(H45^2+I45^2))</f>
        <v/>
      </c>
      <c r="V45">
        <f>IF($C45="","",IF(U45=0,0,MOD(DEGREES(ATAN2(H45,I45)),360)))</f>
        <v/>
      </c>
      <c r="W45">
        <f>IF($C45="","",IF(G45/100&gt;(6/29)^3,(G45/100)^(1/3),(1/3)*(29/6)^2*G45/100+16/116)*116-16)</f>
        <v/>
      </c>
      <c r="X45">
        <f>IF($C45="","",EXP(0.026742553710937*(W45-51.576165618406904))/0.45888671875)</f>
        <v/>
      </c>
      <c r="Y45">
        <f>IF($C45="","",U45/X45)</f>
        <v/>
      </c>
      <c r="Z45">
        <f>IF($C45="","",IF(AND(V45&gt;1,V45&lt;181),SIN(RADIANS(V45-1))^3,0)+IF(AND(V45&gt;104,V45&lt;284),0.39*COS(RADIANS(V45-14))^2,0))</f>
        <v/>
      </c>
      <c r="AA45">
        <f>IF($C45="","",62*(Z45+0.31))</f>
        <v/>
      </c>
      <c r="AB45">
        <f>IF($C45="","",0.36*(Z45+0.19))</f>
        <v/>
      </c>
      <c r="AC45">
        <f>IF($C45="","",AA45*(LN(Y45/80+AB45)-LN(AB45)))</f>
        <v/>
      </c>
      <c r="AD45">
        <f>IF($C45="","",IF(C45/INDEX(Matrices!$D$2:$D$15,T45)&gt;0.008856,(C45/INDEX(Matrices!$D$2:$D$15,T45))^(1/3),7.787*C45/INDEX(Matrices!$D$2:$D$15,T45)+16/116))</f>
        <v/>
      </c>
      <c r="AE45">
        <f>IF($C45="","",IF(D45/INDEX(Matrices!$E$2:$E$15,T45)&gt;0.008856,(D45/INDEX(Matrices!$E$2:$E$15,T45))^(1/3),7.787*D45/INDEX(Matrices!$E$2:$E$15,T45)+16/116))</f>
        <v/>
      </c>
      <c r="AF45">
        <f>IF($C45="","",IF(E45/INDEX(Matrices!$F$2:$F$15,T45)&gt;0.008856,(E45/INDEX(Matrices!$F$2:$F$15,T45))^(1/3),7.787*E45/INDEX(Matrices!$F$2:$F$15,T45)+16/116))</f>
        <v/>
      </c>
      <c r="AG45">
        <f>IF(OR($C45="",F45=""),"",MATCH(F45,$A$6:$A$45,0))</f>
        <v/>
      </c>
      <c r="AH45">
        <f>IF(OR($C45="",F45=""),"",INDEX($M$6:$M$45,AG45))</f>
        <v/>
      </c>
      <c r="AI45">
        <f>IF(OR($C45="",F45=""),"",INDEX($N$6:$N$45,AG45))</f>
        <v/>
      </c>
      <c r="AJ45">
        <f>IF(OR($C45="",F45=""),"",INDEX($O$6:$O$45,AG45))</f>
        <v/>
      </c>
      <c r="AK45">
        <f>IF(OR($C45="",F45=""),"",(SQRT(N45^2+O45^2)+SQRT(AI45^2+AJ45^2))/2)</f>
        <v/>
      </c>
      <c r="AL45">
        <f>IF(OR($C45="",F45=""),"",0.5*(1-SQRT(AK45^7/(AK45^7+25^7))))</f>
        <v/>
      </c>
      <c r="AM45">
        <f>IF(OR($C45="",F45=""),"",(1+AL45)*N45)</f>
        <v/>
      </c>
      <c r="AN45">
        <f>IF(OR($C45="",F45=""),"",(1+AL45)*AI45)</f>
        <v/>
      </c>
      <c r="AO45">
        <f>IF(OR($C45="",F45=""),"",SQRT(AM45^2+O45^2))</f>
        <v/>
      </c>
      <c r="AP45">
        <f>IF(OR($C45="",F45=""),"",SQRT(AN45^2+AJ45^2))</f>
        <v/>
      </c>
      <c r="AQ45">
        <f>IF(OR($C45="",F45=""),"",IF(AO45=0,0,MOD(DEGREES(ATAN2(AM45,O45)),360)))</f>
        <v/>
      </c>
      <c r="AR45">
        <f>IF(OR($C45="",F45=""),"",IF(AP45=0,0,MOD(DEGREES(ATAN2(AN45,AJ45)),360)))</f>
        <v/>
      </c>
      <c r="AS45">
        <f>IF(OR($C45="",F45=""),"",IF(AO45*AP45=0,0,IF((AR45-AQ45)&gt;180,(AR45-AQ45)-360,IF((AR45-AQ45)&lt;-180,(AR45-AQ45)+360,(AR45-AQ45)))))</f>
        <v/>
      </c>
      <c r="AT45">
        <f>IF(OR($C45="",F45=""),"",2*SQRT(AO45*AP45)*SIN(RADIANS(AS45/2)))</f>
        <v/>
      </c>
      <c r="AU45">
        <f>IF(OR($C45="",F45=""),"",(M45+AH45)/2)</f>
        <v/>
      </c>
      <c r="AV45">
        <f>IF(OR($C45="",F45=""),"",(AO45+AP45)/2)</f>
        <v/>
      </c>
      <c r="AW45">
        <f>IF(OR($C45="",F45=""),"",AQ45+AR45)</f>
        <v/>
      </c>
      <c r="AX45">
        <f>IF(OR($C45="",F45=""),"",IF(AO45*AP45=0,AW45,IF(ABS(AQ45-AR45)&gt;180,IF(AW45&lt;360,(AW45+360)/2,(AW45-360)/2),AW45/2)))</f>
        <v/>
      </c>
      <c r="AY45">
        <f>IF(OR($C45="",F45=""),"",1-0.17*COS(RADIANS(AX45-30))+0.24*COS(RADIANS(2*AX45))+0.32*COS(RADIANS(3*AX45+6))-0.2*COS(RADIANS(4*AX45-63)))</f>
        <v/>
      </c>
      <c r="AZ45">
        <f>IF(OR($C45="",F45=""),"",2*SQRT(AV45^7/(AV45^7+25^7)))</f>
        <v/>
      </c>
      <c r="BA45">
        <f>IF(OR($C45="",F45=""),"",1+0.015*(AU45-50)^2/SQRT(20+(AU45-50)^2))</f>
        <v/>
      </c>
      <c r="BB45">
        <f>IF(OR($C45="",F45=""),"",1+0.045*AV45)</f>
        <v/>
      </c>
      <c r="BC45">
        <f>IF(OR($C45="",F45=""),"",1+0.015*AV45*AY45)</f>
        <v/>
      </c>
      <c r="BD45">
        <f>IF(OR($C45="",F45=""),"",-SIN(RADIANS(2*30*EXP(-(((AX45-275)/25)^2))))*AZ45)</f>
        <v/>
      </c>
    </row>
  </sheetData>
  <dataValidations count="1">
    <dataValidation sqref="B6 B7 B8 B9 B10 B11 B12 B13 B14 B15 B16 B17 B18 B19 B20 B21 B22 B23 B24 B25 B26 B27 B28 B29 B30 B31 B32 B33 B34 B35 B36 B37 B38 B39 B40 B41 B42 B43 B44 B45" showDropDown="0" showInputMessage="0" showErrorMessage="0" allowBlank="1" type="list">
      <formula1>=Matrices!$A$2:$A$15</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5"/>
  <sheetViews>
    <sheetView workbookViewId="0">
      <selection activeCell="A1" sqref="A1"/>
    </sheetView>
  </sheetViews>
  <sheetFormatPr baseColWidth="8" defaultRowHeight="15"/>
  <cols>
    <col width="26" customWidth="1" min="1" max="1"/>
    <col width="20" customWidth="1" min="2" max="2"/>
    <col width="22" customWidth="1" min="3" max="3"/>
  </cols>
  <sheetData>
    <row r="1">
      <c r="A1" s="3" t="inlineStr">
        <is>
          <t>Material adjustment transform (MAT)</t>
        </is>
      </c>
      <c r="B1" s="4" t="n"/>
      <c r="C1" s="4" t="n"/>
      <c r="D1" s="4" t="n"/>
      <c r="E1" s="4" t="n"/>
      <c r="F1" s="4" t="n"/>
      <c r="G1" s="4" t="n"/>
      <c r="H1" s="4" t="n"/>
      <c r="I1" s="4" t="n"/>
      <c r="J1" s="4" t="n"/>
      <c r="K1" s="4" t="n"/>
      <c r="L1" s="4" t="n"/>
      <c r="M1" s="4" t="n"/>
      <c r="N1" s="4" t="n"/>
      <c r="O1" s="4" t="n"/>
    </row>
    <row r="2">
      <c r="A2" s="4" t="inlineStr">
        <is>
          <t>XYZ under the source condition -&gt; Wpt -&gt; the XYZ the same material gives under the destination condition.</t>
        </is>
      </c>
      <c r="B2" s="4" t="n"/>
      <c r="C2" s="4" t="n"/>
      <c r="D2" s="4" t="n"/>
      <c r="E2" s="4" t="n"/>
      <c r="F2" s="4" t="n"/>
      <c r="G2" s="4" t="n"/>
      <c r="H2" s="4" t="n"/>
      <c r="I2" s="4" t="n"/>
      <c r="J2" s="4" t="n"/>
      <c r="K2" s="4" t="n"/>
      <c r="L2" s="4" t="n"/>
      <c r="M2" s="4" t="n"/>
      <c r="N2" s="4" t="n"/>
      <c r="O2" s="4" t="n"/>
    </row>
    <row r="3">
      <c r="A3" s="4" t="inlineStr">
        <is>
          <t>It also converts observers: pick a source and destination with different observers.</t>
        </is>
      </c>
      <c r="B3" s="4" t="n"/>
      <c r="C3" s="4" t="n"/>
      <c r="D3" s="4" t="n"/>
      <c r="E3" s="4" t="n"/>
      <c r="F3" s="4" t="n"/>
      <c r="G3" s="4" t="n"/>
      <c r="H3" s="4" t="n"/>
      <c r="I3" s="4" t="n"/>
      <c r="J3" s="4" t="n"/>
      <c r="K3" s="4" t="n"/>
      <c r="L3" s="4" t="n"/>
      <c r="M3" s="4" t="n"/>
      <c r="N3" s="4" t="n"/>
      <c r="O3" s="4" t="n"/>
    </row>
    <row r="5">
      <c r="A5" s="6" t="inlineStr">
        <is>
          <t>Name</t>
        </is>
      </c>
      <c r="B5" s="6" t="inlineStr">
        <is>
          <t>Source condition</t>
        </is>
      </c>
      <c r="C5" s="6" t="inlineStr">
        <is>
          <t>Destination condition</t>
        </is>
      </c>
      <c r="D5" s="6" t="inlineStr">
        <is>
          <t>X</t>
        </is>
      </c>
      <c r="E5" s="6" t="inlineStr">
        <is>
          <t>Y</t>
        </is>
      </c>
      <c r="F5" s="6" t="inlineStr">
        <is>
          <t>Z</t>
        </is>
      </c>
      <c r="G5" s="6" t="inlineStr">
        <is>
          <t>W</t>
        </is>
      </c>
      <c r="H5" s="6" t="inlineStr">
        <is>
          <t>p</t>
        </is>
      </c>
      <c r="I5" s="6" t="inlineStr">
        <is>
          <t>t</t>
        </is>
      </c>
      <c r="J5" s="6" t="inlineStr">
        <is>
          <t>X dest</t>
        </is>
      </c>
      <c r="K5" s="6" t="inlineStr">
        <is>
          <t>Y dest</t>
        </is>
      </c>
      <c r="L5" s="6" t="inlineStr">
        <is>
          <t>Z dest</t>
        </is>
      </c>
      <c r="M5" s="6" t="n"/>
      <c r="N5" s="6" t="inlineStr">
        <is>
          <t>srow</t>
        </is>
      </c>
      <c r="O5" s="6" t="inlineStr">
        <is>
          <t>drow</t>
        </is>
      </c>
    </row>
    <row r="6">
      <c r="A6" s="7" t="inlineStr">
        <is>
          <t>5PB 5/6 measured under A</t>
        </is>
      </c>
      <c r="B6" s="7" t="inlineStr">
        <is>
          <t>CIE 1931 2deg A</t>
        </is>
      </c>
      <c r="C6" s="7" t="inlineStr">
        <is>
          <t>CIE 1931 2deg D65</t>
        </is>
      </c>
      <c r="D6" s="7" t="n">
        <v>18.7118</v>
      </c>
      <c r="E6" s="7" t="n">
        <v>18.2392</v>
      </c>
      <c r="F6" s="7" t="n">
        <v>12.1728</v>
      </c>
      <c r="G6" s="8">
        <f>IF($D6="","",INDEX(Matrices!$G$2:$G$15,N6)*D6+INDEX(Matrices!$H$2:$H$15,N6)*E6+INDEX(Matrices!$I$2:$I$15,N6)*F6)</f>
        <v/>
      </c>
      <c r="H6" s="8">
        <f>IF($D6="","",INDEX(Matrices!$J$2:$J$15,N6)*D6+INDEX(Matrices!$K$2:$K$15,N6)*E6+INDEX(Matrices!$L$2:$L$15,N6)*F6)</f>
        <v/>
      </c>
      <c r="I6" s="8">
        <f>IF($D6="","",INDEX(Matrices!$M$2:$M$15,N6)*D6+INDEX(Matrices!$N$2:$N$15,N6)*E6+INDEX(Matrices!$O$2:$O$15,N6)*F6)</f>
        <v/>
      </c>
      <c r="J6" s="8">
        <f>IF($D6="","",INDEX(Matrices!$P$2:$P$15,O6)*G6+INDEX(Matrices!$Q$2:$Q$15,O6)*H6+INDEX(Matrices!$R$2:$R$15,O6)*I6)</f>
        <v/>
      </c>
      <c r="K6" s="8">
        <f>IF($D6="","",INDEX(Matrices!$S$2:$S$15,O6)*G6+INDEX(Matrices!$T$2:$T$15,O6)*H6+INDEX(Matrices!$U$2:$U$15,O6)*I6)</f>
        <v/>
      </c>
      <c r="L6" s="8">
        <f>IF($D6="","",INDEX(Matrices!$V$2:$V$15,O6)*G6+INDEX(Matrices!$W$2:$W$15,O6)*H6+INDEX(Matrices!$X$2:$X$15,O6)*I6)</f>
        <v/>
      </c>
      <c r="N6">
        <f>IF($D6="","",MATCH(B6,Matrices!$A$2:$A$15,0))</f>
        <v/>
      </c>
      <c r="O6">
        <f>IF($D6="","",MATCH(C6,Matrices!$A$2:$A$15,0))</f>
        <v/>
      </c>
    </row>
    <row r="7">
      <c r="A7" s="7" t="inlineStr">
        <is>
          <t>5PB 5/6, 1964 observer</t>
        </is>
      </c>
      <c r="B7" s="7" t="inlineStr">
        <is>
          <t>CIE 1964 10deg D65</t>
        </is>
      </c>
      <c r="C7" s="7" t="inlineStr">
        <is>
          <t>CIE 1931 2deg D65</t>
        </is>
      </c>
      <c r="D7" s="7" t="n">
        <v>19.0217</v>
      </c>
      <c r="E7" s="7" t="n">
        <v>20.7446</v>
      </c>
      <c r="F7" s="7" t="n">
        <v>37.4475</v>
      </c>
      <c r="G7" s="8">
        <f>IF($D7="","",INDEX(Matrices!$G$2:$G$15,N7)*D7+INDEX(Matrices!$H$2:$H$15,N7)*E7+INDEX(Matrices!$I$2:$I$15,N7)*F7)</f>
        <v/>
      </c>
      <c r="H7" s="8">
        <f>IF($D7="","",INDEX(Matrices!$J$2:$J$15,N7)*D7+INDEX(Matrices!$K$2:$K$15,N7)*E7+INDEX(Matrices!$L$2:$L$15,N7)*F7)</f>
        <v/>
      </c>
      <c r="I7" s="8">
        <f>IF($D7="","",INDEX(Matrices!$M$2:$M$15,N7)*D7+INDEX(Matrices!$N$2:$N$15,N7)*E7+INDEX(Matrices!$O$2:$O$15,N7)*F7)</f>
        <v/>
      </c>
      <c r="J7" s="8">
        <f>IF($D7="","",INDEX(Matrices!$P$2:$P$15,O7)*G7+INDEX(Matrices!$Q$2:$Q$15,O7)*H7+INDEX(Matrices!$R$2:$R$15,O7)*I7)</f>
        <v/>
      </c>
      <c r="K7" s="8">
        <f>IF($D7="","",INDEX(Matrices!$S$2:$S$15,O7)*G7+INDEX(Matrices!$T$2:$T$15,O7)*H7+INDEX(Matrices!$U$2:$U$15,O7)*I7)</f>
        <v/>
      </c>
      <c r="L7" s="8">
        <f>IF($D7="","",INDEX(Matrices!$V$2:$V$15,O7)*G7+INDEX(Matrices!$W$2:$W$15,O7)*H7+INDEX(Matrices!$X$2:$X$15,O7)*I7)</f>
        <v/>
      </c>
      <c r="N7">
        <f>IF($D7="","",MATCH(B7,Matrices!$A$2:$A$15,0))</f>
        <v/>
      </c>
      <c r="O7">
        <f>IF($D7="","",MATCH(C7,Matrices!$A$2:$A$15,0))</f>
        <v/>
      </c>
    </row>
    <row r="8">
      <c r="A8" s="7" t="n"/>
      <c r="B8" s="7" t="n"/>
      <c r="C8" s="7" t="n"/>
      <c r="D8" s="7" t="n"/>
      <c r="E8" s="7" t="n"/>
      <c r="F8" s="7" t="n"/>
      <c r="G8" s="8">
        <f>IF($D8="","",INDEX(Matrices!$G$2:$G$15,N8)*D8+INDEX(Matrices!$H$2:$H$15,N8)*E8+INDEX(Matrices!$I$2:$I$15,N8)*F8)</f>
        <v/>
      </c>
      <c r="H8" s="8">
        <f>IF($D8="","",INDEX(Matrices!$J$2:$J$15,N8)*D8+INDEX(Matrices!$K$2:$K$15,N8)*E8+INDEX(Matrices!$L$2:$L$15,N8)*F8)</f>
        <v/>
      </c>
      <c r="I8" s="8">
        <f>IF($D8="","",INDEX(Matrices!$M$2:$M$15,N8)*D8+INDEX(Matrices!$N$2:$N$15,N8)*E8+INDEX(Matrices!$O$2:$O$15,N8)*F8)</f>
        <v/>
      </c>
      <c r="J8" s="8">
        <f>IF($D8="","",INDEX(Matrices!$P$2:$P$15,O8)*G8+INDEX(Matrices!$Q$2:$Q$15,O8)*H8+INDEX(Matrices!$R$2:$R$15,O8)*I8)</f>
        <v/>
      </c>
      <c r="K8" s="8">
        <f>IF($D8="","",INDEX(Matrices!$S$2:$S$15,O8)*G8+INDEX(Matrices!$T$2:$T$15,O8)*H8+INDEX(Matrices!$U$2:$U$15,O8)*I8)</f>
        <v/>
      </c>
      <c r="L8" s="8">
        <f>IF($D8="","",INDEX(Matrices!$V$2:$V$15,O8)*G8+INDEX(Matrices!$W$2:$W$15,O8)*H8+INDEX(Matrices!$X$2:$X$15,O8)*I8)</f>
        <v/>
      </c>
      <c r="N8">
        <f>IF($D8="","",MATCH(B8,Matrices!$A$2:$A$15,0))</f>
        <v/>
      </c>
      <c r="O8">
        <f>IF($D8="","",MATCH(C8,Matrices!$A$2:$A$15,0))</f>
        <v/>
      </c>
    </row>
    <row r="9">
      <c r="A9" s="7" t="n"/>
      <c r="B9" s="7" t="n"/>
      <c r="C9" s="7" t="n"/>
      <c r="D9" s="7" t="n"/>
      <c r="E9" s="7" t="n"/>
      <c r="F9" s="7" t="n"/>
      <c r="G9" s="8">
        <f>IF($D9="","",INDEX(Matrices!$G$2:$G$15,N9)*D9+INDEX(Matrices!$H$2:$H$15,N9)*E9+INDEX(Matrices!$I$2:$I$15,N9)*F9)</f>
        <v/>
      </c>
      <c r="H9" s="8">
        <f>IF($D9="","",INDEX(Matrices!$J$2:$J$15,N9)*D9+INDEX(Matrices!$K$2:$K$15,N9)*E9+INDEX(Matrices!$L$2:$L$15,N9)*F9)</f>
        <v/>
      </c>
      <c r="I9" s="8">
        <f>IF($D9="","",INDEX(Matrices!$M$2:$M$15,N9)*D9+INDEX(Matrices!$N$2:$N$15,N9)*E9+INDEX(Matrices!$O$2:$O$15,N9)*F9)</f>
        <v/>
      </c>
      <c r="J9" s="8">
        <f>IF($D9="","",INDEX(Matrices!$P$2:$P$15,O9)*G9+INDEX(Matrices!$Q$2:$Q$15,O9)*H9+INDEX(Matrices!$R$2:$R$15,O9)*I9)</f>
        <v/>
      </c>
      <c r="K9" s="8">
        <f>IF($D9="","",INDEX(Matrices!$S$2:$S$15,O9)*G9+INDEX(Matrices!$T$2:$T$15,O9)*H9+INDEX(Matrices!$U$2:$U$15,O9)*I9)</f>
        <v/>
      </c>
      <c r="L9" s="8">
        <f>IF($D9="","",INDEX(Matrices!$V$2:$V$15,O9)*G9+INDEX(Matrices!$W$2:$W$15,O9)*H9+INDEX(Matrices!$X$2:$X$15,O9)*I9)</f>
        <v/>
      </c>
      <c r="N9">
        <f>IF($D9="","",MATCH(B9,Matrices!$A$2:$A$15,0))</f>
        <v/>
      </c>
      <c r="O9">
        <f>IF($D9="","",MATCH(C9,Matrices!$A$2:$A$15,0))</f>
        <v/>
      </c>
    </row>
    <row r="10">
      <c r="A10" s="7" t="n"/>
      <c r="B10" s="7" t="n"/>
      <c r="C10" s="7" t="n"/>
      <c r="D10" s="7" t="n"/>
      <c r="E10" s="7" t="n"/>
      <c r="F10" s="7" t="n"/>
      <c r="G10" s="8">
        <f>IF($D10="","",INDEX(Matrices!$G$2:$G$15,N10)*D10+INDEX(Matrices!$H$2:$H$15,N10)*E10+INDEX(Matrices!$I$2:$I$15,N10)*F10)</f>
        <v/>
      </c>
      <c r="H10" s="8">
        <f>IF($D10="","",INDEX(Matrices!$J$2:$J$15,N10)*D10+INDEX(Matrices!$K$2:$K$15,N10)*E10+INDEX(Matrices!$L$2:$L$15,N10)*F10)</f>
        <v/>
      </c>
      <c r="I10" s="8">
        <f>IF($D10="","",INDEX(Matrices!$M$2:$M$15,N10)*D10+INDEX(Matrices!$N$2:$N$15,N10)*E10+INDEX(Matrices!$O$2:$O$15,N10)*F10)</f>
        <v/>
      </c>
      <c r="J10" s="8">
        <f>IF($D10="","",INDEX(Matrices!$P$2:$P$15,O10)*G10+INDEX(Matrices!$Q$2:$Q$15,O10)*H10+INDEX(Matrices!$R$2:$R$15,O10)*I10)</f>
        <v/>
      </c>
      <c r="K10" s="8">
        <f>IF($D10="","",INDEX(Matrices!$S$2:$S$15,O10)*G10+INDEX(Matrices!$T$2:$T$15,O10)*H10+INDEX(Matrices!$U$2:$U$15,O10)*I10)</f>
        <v/>
      </c>
      <c r="L10" s="8">
        <f>IF($D10="","",INDEX(Matrices!$V$2:$V$15,O10)*G10+INDEX(Matrices!$W$2:$W$15,O10)*H10+INDEX(Matrices!$X$2:$X$15,O10)*I10)</f>
        <v/>
      </c>
      <c r="N10">
        <f>IF($D10="","",MATCH(B10,Matrices!$A$2:$A$15,0))</f>
        <v/>
      </c>
      <c r="O10">
        <f>IF($D10="","",MATCH(C10,Matrices!$A$2:$A$15,0))</f>
        <v/>
      </c>
    </row>
    <row r="11">
      <c r="A11" s="7" t="n"/>
      <c r="B11" s="7" t="n"/>
      <c r="C11" s="7" t="n"/>
      <c r="D11" s="7" t="n"/>
      <c r="E11" s="7" t="n"/>
      <c r="F11" s="7" t="n"/>
      <c r="G11" s="8">
        <f>IF($D11="","",INDEX(Matrices!$G$2:$G$15,N11)*D11+INDEX(Matrices!$H$2:$H$15,N11)*E11+INDEX(Matrices!$I$2:$I$15,N11)*F11)</f>
        <v/>
      </c>
      <c r="H11" s="8">
        <f>IF($D11="","",INDEX(Matrices!$J$2:$J$15,N11)*D11+INDEX(Matrices!$K$2:$K$15,N11)*E11+INDEX(Matrices!$L$2:$L$15,N11)*F11)</f>
        <v/>
      </c>
      <c r="I11" s="8">
        <f>IF($D11="","",INDEX(Matrices!$M$2:$M$15,N11)*D11+INDEX(Matrices!$N$2:$N$15,N11)*E11+INDEX(Matrices!$O$2:$O$15,N11)*F11)</f>
        <v/>
      </c>
      <c r="J11" s="8">
        <f>IF($D11="","",INDEX(Matrices!$P$2:$P$15,O11)*G11+INDEX(Matrices!$Q$2:$Q$15,O11)*H11+INDEX(Matrices!$R$2:$R$15,O11)*I11)</f>
        <v/>
      </c>
      <c r="K11" s="8">
        <f>IF($D11="","",INDEX(Matrices!$S$2:$S$15,O11)*G11+INDEX(Matrices!$T$2:$T$15,O11)*H11+INDEX(Matrices!$U$2:$U$15,O11)*I11)</f>
        <v/>
      </c>
      <c r="L11" s="8">
        <f>IF($D11="","",INDEX(Matrices!$V$2:$V$15,O11)*G11+INDEX(Matrices!$W$2:$W$15,O11)*H11+INDEX(Matrices!$X$2:$X$15,O11)*I11)</f>
        <v/>
      </c>
      <c r="N11">
        <f>IF($D11="","",MATCH(B11,Matrices!$A$2:$A$15,0))</f>
        <v/>
      </c>
      <c r="O11">
        <f>IF($D11="","",MATCH(C11,Matrices!$A$2:$A$15,0))</f>
        <v/>
      </c>
    </row>
    <row r="12">
      <c r="A12" s="7" t="n"/>
      <c r="B12" s="7" t="n"/>
      <c r="C12" s="7" t="n"/>
      <c r="D12" s="7" t="n"/>
      <c r="E12" s="7" t="n"/>
      <c r="F12" s="7" t="n"/>
      <c r="G12" s="8">
        <f>IF($D12="","",INDEX(Matrices!$G$2:$G$15,N12)*D12+INDEX(Matrices!$H$2:$H$15,N12)*E12+INDEX(Matrices!$I$2:$I$15,N12)*F12)</f>
        <v/>
      </c>
      <c r="H12" s="8">
        <f>IF($D12="","",INDEX(Matrices!$J$2:$J$15,N12)*D12+INDEX(Matrices!$K$2:$K$15,N12)*E12+INDEX(Matrices!$L$2:$L$15,N12)*F12)</f>
        <v/>
      </c>
      <c r="I12" s="8">
        <f>IF($D12="","",INDEX(Matrices!$M$2:$M$15,N12)*D12+INDEX(Matrices!$N$2:$N$15,N12)*E12+INDEX(Matrices!$O$2:$O$15,N12)*F12)</f>
        <v/>
      </c>
      <c r="J12" s="8">
        <f>IF($D12="","",INDEX(Matrices!$P$2:$P$15,O12)*G12+INDEX(Matrices!$Q$2:$Q$15,O12)*H12+INDEX(Matrices!$R$2:$R$15,O12)*I12)</f>
        <v/>
      </c>
      <c r="K12" s="8">
        <f>IF($D12="","",INDEX(Matrices!$S$2:$S$15,O12)*G12+INDEX(Matrices!$T$2:$T$15,O12)*H12+INDEX(Matrices!$U$2:$U$15,O12)*I12)</f>
        <v/>
      </c>
      <c r="L12" s="8">
        <f>IF($D12="","",INDEX(Matrices!$V$2:$V$15,O12)*G12+INDEX(Matrices!$W$2:$W$15,O12)*H12+INDEX(Matrices!$X$2:$X$15,O12)*I12)</f>
        <v/>
      </c>
      <c r="N12">
        <f>IF($D12="","",MATCH(B12,Matrices!$A$2:$A$15,0))</f>
        <v/>
      </c>
      <c r="O12">
        <f>IF($D12="","",MATCH(C12,Matrices!$A$2:$A$15,0))</f>
        <v/>
      </c>
    </row>
    <row r="13">
      <c r="A13" s="7" t="n"/>
      <c r="B13" s="7" t="n"/>
      <c r="C13" s="7" t="n"/>
      <c r="D13" s="7" t="n"/>
      <c r="E13" s="7" t="n"/>
      <c r="F13" s="7" t="n"/>
      <c r="G13" s="8">
        <f>IF($D13="","",INDEX(Matrices!$G$2:$G$15,N13)*D13+INDEX(Matrices!$H$2:$H$15,N13)*E13+INDEX(Matrices!$I$2:$I$15,N13)*F13)</f>
        <v/>
      </c>
      <c r="H13" s="8">
        <f>IF($D13="","",INDEX(Matrices!$J$2:$J$15,N13)*D13+INDEX(Matrices!$K$2:$K$15,N13)*E13+INDEX(Matrices!$L$2:$L$15,N13)*F13)</f>
        <v/>
      </c>
      <c r="I13" s="8">
        <f>IF($D13="","",INDEX(Matrices!$M$2:$M$15,N13)*D13+INDEX(Matrices!$N$2:$N$15,N13)*E13+INDEX(Matrices!$O$2:$O$15,N13)*F13)</f>
        <v/>
      </c>
      <c r="J13" s="8">
        <f>IF($D13="","",INDEX(Matrices!$P$2:$P$15,O13)*G13+INDEX(Matrices!$Q$2:$Q$15,O13)*H13+INDEX(Matrices!$R$2:$R$15,O13)*I13)</f>
        <v/>
      </c>
      <c r="K13" s="8">
        <f>IF($D13="","",INDEX(Matrices!$S$2:$S$15,O13)*G13+INDEX(Matrices!$T$2:$T$15,O13)*H13+INDEX(Matrices!$U$2:$U$15,O13)*I13)</f>
        <v/>
      </c>
      <c r="L13" s="8">
        <f>IF($D13="","",INDEX(Matrices!$V$2:$V$15,O13)*G13+INDEX(Matrices!$W$2:$W$15,O13)*H13+INDEX(Matrices!$X$2:$X$15,O13)*I13)</f>
        <v/>
      </c>
      <c r="N13">
        <f>IF($D13="","",MATCH(B13,Matrices!$A$2:$A$15,0))</f>
        <v/>
      </c>
      <c r="O13">
        <f>IF($D13="","",MATCH(C13,Matrices!$A$2:$A$15,0))</f>
        <v/>
      </c>
    </row>
    <row r="14">
      <c r="A14" s="7" t="n"/>
      <c r="B14" s="7" t="n"/>
      <c r="C14" s="7" t="n"/>
      <c r="D14" s="7" t="n"/>
      <c r="E14" s="7" t="n"/>
      <c r="F14" s="7" t="n"/>
      <c r="G14" s="8">
        <f>IF($D14="","",INDEX(Matrices!$G$2:$G$15,N14)*D14+INDEX(Matrices!$H$2:$H$15,N14)*E14+INDEX(Matrices!$I$2:$I$15,N14)*F14)</f>
        <v/>
      </c>
      <c r="H14" s="8">
        <f>IF($D14="","",INDEX(Matrices!$J$2:$J$15,N14)*D14+INDEX(Matrices!$K$2:$K$15,N14)*E14+INDEX(Matrices!$L$2:$L$15,N14)*F14)</f>
        <v/>
      </c>
      <c r="I14" s="8">
        <f>IF($D14="","",INDEX(Matrices!$M$2:$M$15,N14)*D14+INDEX(Matrices!$N$2:$N$15,N14)*E14+INDEX(Matrices!$O$2:$O$15,N14)*F14)</f>
        <v/>
      </c>
      <c r="J14" s="8">
        <f>IF($D14="","",INDEX(Matrices!$P$2:$P$15,O14)*G14+INDEX(Matrices!$Q$2:$Q$15,O14)*H14+INDEX(Matrices!$R$2:$R$15,O14)*I14)</f>
        <v/>
      </c>
      <c r="K14" s="8">
        <f>IF($D14="","",INDEX(Matrices!$S$2:$S$15,O14)*G14+INDEX(Matrices!$T$2:$T$15,O14)*H14+INDEX(Matrices!$U$2:$U$15,O14)*I14)</f>
        <v/>
      </c>
      <c r="L14" s="8">
        <f>IF($D14="","",INDEX(Matrices!$V$2:$V$15,O14)*G14+INDEX(Matrices!$W$2:$W$15,O14)*H14+INDEX(Matrices!$X$2:$X$15,O14)*I14)</f>
        <v/>
      </c>
      <c r="N14">
        <f>IF($D14="","",MATCH(B14,Matrices!$A$2:$A$15,0))</f>
        <v/>
      </c>
      <c r="O14">
        <f>IF($D14="","",MATCH(C14,Matrices!$A$2:$A$15,0))</f>
        <v/>
      </c>
    </row>
    <row r="15">
      <c r="A15" s="7" t="n"/>
      <c r="B15" s="7" t="n"/>
      <c r="C15" s="7" t="n"/>
      <c r="D15" s="7" t="n"/>
      <c r="E15" s="7" t="n"/>
      <c r="F15" s="7" t="n"/>
      <c r="G15" s="8">
        <f>IF($D15="","",INDEX(Matrices!$G$2:$G$15,N15)*D15+INDEX(Matrices!$H$2:$H$15,N15)*E15+INDEX(Matrices!$I$2:$I$15,N15)*F15)</f>
        <v/>
      </c>
      <c r="H15" s="8">
        <f>IF($D15="","",INDEX(Matrices!$J$2:$J$15,N15)*D15+INDEX(Matrices!$K$2:$K$15,N15)*E15+INDEX(Matrices!$L$2:$L$15,N15)*F15)</f>
        <v/>
      </c>
      <c r="I15" s="8">
        <f>IF($D15="","",INDEX(Matrices!$M$2:$M$15,N15)*D15+INDEX(Matrices!$N$2:$N$15,N15)*E15+INDEX(Matrices!$O$2:$O$15,N15)*F15)</f>
        <v/>
      </c>
      <c r="J15" s="8">
        <f>IF($D15="","",INDEX(Matrices!$P$2:$P$15,O15)*G15+INDEX(Matrices!$Q$2:$Q$15,O15)*H15+INDEX(Matrices!$R$2:$R$15,O15)*I15)</f>
        <v/>
      </c>
      <c r="K15" s="8">
        <f>IF($D15="","",INDEX(Matrices!$S$2:$S$15,O15)*G15+INDEX(Matrices!$T$2:$T$15,O15)*H15+INDEX(Matrices!$U$2:$U$15,O15)*I15)</f>
        <v/>
      </c>
      <c r="L15" s="8">
        <f>IF($D15="","",INDEX(Matrices!$V$2:$V$15,O15)*G15+INDEX(Matrices!$W$2:$W$15,O15)*H15+INDEX(Matrices!$X$2:$X$15,O15)*I15)</f>
        <v/>
      </c>
      <c r="N15">
        <f>IF($D15="","",MATCH(B15,Matrices!$A$2:$A$15,0))</f>
        <v/>
      </c>
      <c r="O15">
        <f>IF($D15="","",MATCH(C15,Matrices!$A$2:$A$15,0))</f>
        <v/>
      </c>
    </row>
    <row r="16">
      <c r="A16" s="7" t="n"/>
      <c r="B16" s="7" t="n"/>
      <c r="C16" s="7" t="n"/>
      <c r="D16" s="7" t="n"/>
      <c r="E16" s="7" t="n"/>
      <c r="F16" s="7" t="n"/>
      <c r="G16" s="8">
        <f>IF($D16="","",INDEX(Matrices!$G$2:$G$15,N16)*D16+INDEX(Matrices!$H$2:$H$15,N16)*E16+INDEX(Matrices!$I$2:$I$15,N16)*F16)</f>
        <v/>
      </c>
      <c r="H16" s="8">
        <f>IF($D16="","",INDEX(Matrices!$J$2:$J$15,N16)*D16+INDEX(Matrices!$K$2:$K$15,N16)*E16+INDEX(Matrices!$L$2:$L$15,N16)*F16)</f>
        <v/>
      </c>
      <c r="I16" s="8">
        <f>IF($D16="","",INDEX(Matrices!$M$2:$M$15,N16)*D16+INDEX(Matrices!$N$2:$N$15,N16)*E16+INDEX(Matrices!$O$2:$O$15,N16)*F16)</f>
        <v/>
      </c>
      <c r="J16" s="8">
        <f>IF($D16="","",INDEX(Matrices!$P$2:$P$15,O16)*G16+INDEX(Matrices!$Q$2:$Q$15,O16)*H16+INDEX(Matrices!$R$2:$R$15,O16)*I16)</f>
        <v/>
      </c>
      <c r="K16" s="8">
        <f>IF($D16="","",INDEX(Matrices!$S$2:$S$15,O16)*G16+INDEX(Matrices!$T$2:$T$15,O16)*H16+INDEX(Matrices!$U$2:$U$15,O16)*I16)</f>
        <v/>
      </c>
      <c r="L16" s="8">
        <f>IF($D16="","",INDEX(Matrices!$V$2:$V$15,O16)*G16+INDEX(Matrices!$W$2:$W$15,O16)*H16+INDEX(Matrices!$X$2:$X$15,O16)*I16)</f>
        <v/>
      </c>
      <c r="N16">
        <f>IF($D16="","",MATCH(B16,Matrices!$A$2:$A$15,0))</f>
        <v/>
      </c>
      <c r="O16">
        <f>IF($D16="","",MATCH(C16,Matrices!$A$2:$A$15,0))</f>
        <v/>
      </c>
    </row>
    <row r="17">
      <c r="A17" s="7" t="n"/>
      <c r="B17" s="7" t="n"/>
      <c r="C17" s="7" t="n"/>
      <c r="D17" s="7" t="n"/>
      <c r="E17" s="7" t="n"/>
      <c r="F17" s="7" t="n"/>
      <c r="G17" s="8">
        <f>IF($D17="","",INDEX(Matrices!$G$2:$G$15,N17)*D17+INDEX(Matrices!$H$2:$H$15,N17)*E17+INDEX(Matrices!$I$2:$I$15,N17)*F17)</f>
        <v/>
      </c>
      <c r="H17" s="8">
        <f>IF($D17="","",INDEX(Matrices!$J$2:$J$15,N17)*D17+INDEX(Matrices!$K$2:$K$15,N17)*E17+INDEX(Matrices!$L$2:$L$15,N17)*F17)</f>
        <v/>
      </c>
      <c r="I17" s="8">
        <f>IF($D17="","",INDEX(Matrices!$M$2:$M$15,N17)*D17+INDEX(Matrices!$N$2:$N$15,N17)*E17+INDEX(Matrices!$O$2:$O$15,N17)*F17)</f>
        <v/>
      </c>
      <c r="J17" s="8">
        <f>IF($D17="","",INDEX(Matrices!$P$2:$P$15,O17)*G17+INDEX(Matrices!$Q$2:$Q$15,O17)*H17+INDEX(Matrices!$R$2:$R$15,O17)*I17)</f>
        <v/>
      </c>
      <c r="K17" s="8">
        <f>IF($D17="","",INDEX(Matrices!$S$2:$S$15,O17)*G17+INDEX(Matrices!$T$2:$T$15,O17)*H17+INDEX(Matrices!$U$2:$U$15,O17)*I17)</f>
        <v/>
      </c>
      <c r="L17" s="8">
        <f>IF($D17="","",INDEX(Matrices!$V$2:$V$15,O17)*G17+INDEX(Matrices!$W$2:$W$15,O17)*H17+INDEX(Matrices!$X$2:$X$15,O17)*I17)</f>
        <v/>
      </c>
      <c r="N17">
        <f>IF($D17="","",MATCH(B17,Matrices!$A$2:$A$15,0))</f>
        <v/>
      </c>
      <c r="O17">
        <f>IF($D17="","",MATCH(C17,Matrices!$A$2:$A$15,0))</f>
        <v/>
      </c>
    </row>
    <row r="18">
      <c r="A18" s="7" t="n"/>
      <c r="B18" s="7" t="n"/>
      <c r="C18" s="7" t="n"/>
      <c r="D18" s="7" t="n"/>
      <c r="E18" s="7" t="n"/>
      <c r="F18" s="7" t="n"/>
      <c r="G18" s="8">
        <f>IF($D18="","",INDEX(Matrices!$G$2:$G$15,N18)*D18+INDEX(Matrices!$H$2:$H$15,N18)*E18+INDEX(Matrices!$I$2:$I$15,N18)*F18)</f>
        <v/>
      </c>
      <c r="H18" s="8">
        <f>IF($D18="","",INDEX(Matrices!$J$2:$J$15,N18)*D18+INDEX(Matrices!$K$2:$K$15,N18)*E18+INDEX(Matrices!$L$2:$L$15,N18)*F18)</f>
        <v/>
      </c>
      <c r="I18" s="8">
        <f>IF($D18="","",INDEX(Matrices!$M$2:$M$15,N18)*D18+INDEX(Matrices!$N$2:$N$15,N18)*E18+INDEX(Matrices!$O$2:$O$15,N18)*F18)</f>
        <v/>
      </c>
      <c r="J18" s="8">
        <f>IF($D18="","",INDEX(Matrices!$P$2:$P$15,O18)*G18+INDEX(Matrices!$Q$2:$Q$15,O18)*H18+INDEX(Matrices!$R$2:$R$15,O18)*I18)</f>
        <v/>
      </c>
      <c r="K18" s="8">
        <f>IF($D18="","",INDEX(Matrices!$S$2:$S$15,O18)*G18+INDEX(Matrices!$T$2:$T$15,O18)*H18+INDEX(Matrices!$U$2:$U$15,O18)*I18)</f>
        <v/>
      </c>
      <c r="L18" s="8">
        <f>IF($D18="","",INDEX(Matrices!$V$2:$V$15,O18)*G18+INDEX(Matrices!$W$2:$W$15,O18)*H18+INDEX(Matrices!$X$2:$X$15,O18)*I18)</f>
        <v/>
      </c>
      <c r="N18">
        <f>IF($D18="","",MATCH(B18,Matrices!$A$2:$A$15,0))</f>
        <v/>
      </c>
      <c r="O18">
        <f>IF($D18="","",MATCH(C18,Matrices!$A$2:$A$15,0))</f>
        <v/>
      </c>
    </row>
    <row r="19">
      <c r="A19" s="7" t="n"/>
      <c r="B19" s="7" t="n"/>
      <c r="C19" s="7" t="n"/>
      <c r="D19" s="7" t="n"/>
      <c r="E19" s="7" t="n"/>
      <c r="F19" s="7" t="n"/>
      <c r="G19" s="8">
        <f>IF($D19="","",INDEX(Matrices!$G$2:$G$15,N19)*D19+INDEX(Matrices!$H$2:$H$15,N19)*E19+INDEX(Matrices!$I$2:$I$15,N19)*F19)</f>
        <v/>
      </c>
      <c r="H19" s="8">
        <f>IF($D19="","",INDEX(Matrices!$J$2:$J$15,N19)*D19+INDEX(Matrices!$K$2:$K$15,N19)*E19+INDEX(Matrices!$L$2:$L$15,N19)*F19)</f>
        <v/>
      </c>
      <c r="I19" s="8">
        <f>IF($D19="","",INDEX(Matrices!$M$2:$M$15,N19)*D19+INDEX(Matrices!$N$2:$N$15,N19)*E19+INDEX(Matrices!$O$2:$O$15,N19)*F19)</f>
        <v/>
      </c>
      <c r="J19" s="8">
        <f>IF($D19="","",INDEX(Matrices!$P$2:$P$15,O19)*G19+INDEX(Matrices!$Q$2:$Q$15,O19)*H19+INDEX(Matrices!$R$2:$R$15,O19)*I19)</f>
        <v/>
      </c>
      <c r="K19" s="8">
        <f>IF($D19="","",INDEX(Matrices!$S$2:$S$15,O19)*G19+INDEX(Matrices!$T$2:$T$15,O19)*H19+INDEX(Matrices!$U$2:$U$15,O19)*I19)</f>
        <v/>
      </c>
      <c r="L19" s="8">
        <f>IF($D19="","",INDEX(Matrices!$V$2:$V$15,O19)*G19+INDEX(Matrices!$W$2:$W$15,O19)*H19+INDEX(Matrices!$X$2:$X$15,O19)*I19)</f>
        <v/>
      </c>
      <c r="N19">
        <f>IF($D19="","",MATCH(B19,Matrices!$A$2:$A$15,0))</f>
        <v/>
      </c>
      <c r="O19">
        <f>IF($D19="","",MATCH(C19,Matrices!$A$2:$A$15,0))</f>
        <v/>
      </c>
    </row>
    <row r="20">
      <c r="A20" s="7" t="n"/>
      <c r="B20" s="7" t="n"/>
      <c r="C20" s="7" t="n"/>
      <c r="D20" s="7" t="n"/>
      <c r="E20" s="7" t="n"/>
      <c r="F20" s="7" t="n"/>
      <c r="G20" s="8">
        <f>IF($D20="","",INDEX(Matrices!$G$2:$G$15,N20)*D20+INDEX(Matrices!$H$2:$H$15,N20)*E20+INDEX(Matrices!$I$2:$I$15,N20)*F20)</f>
        <v/>
      </c>
      <c r="H20" s="8">
        <f>IF($D20="","",INDEX(Matrices!$J$2:$J$15,N20)*D20+INDEX(Matrices!$K$2:$K$15,N20)*E20+INDEX(Matrices!$L$2:$L$15,N20)*F20)</f>
        <v/>
      </c>
      <c r="I20" s="8">
        <f>IF($D20="","",INDEX(Matrices!$M$2:$M$15,N20)*D20+INDEX(Matrices!$N$2:$N$15,N20)*E20+INDEX(Matrices!$O$2:$O$15,N20)*F20)</f>
        <v/>
      </c>
      <c r="J20" s="8">
        <f>IF($D20="","",INDEX(Matrices!$P$2:$P$15,O20)*G20+INDEX(Matrices!$Q$2:$Q$15,O20)*H20+INDEX(Matrices!$R$2:$R$15,O20)*I20)</f>
        <v/>
      </c>
      <c r="K20" s="8">
        <f>IF($D20="","",INDEX(Matrices!$S$2:$S$15,O20)*G20+INDEX(Matrices!$T$2:$T$15,O20)*H20+INDEX(Matrices!$U$2:$U$15,O20)*I20)</f>
        <v/>
      </c>
      <c r="L20" s="8">
        <f>IF($D20="","",INDEX(Matrices!$V$2:$V$15,O20)*G20+INDEX(Matrices!$W$2:$W$15,O20)*H20+INDEX(Matrices!$X$2:$X$15,O20)*I20)</f>
        <v/>
      </c>
      <c r="N20">
        <f>IF($D20="","",MATCH(B20,Matrices!$A$2:$A$15,0))</f>
        <v/>
      </c>
      <c r="O20">
        <f>IF($D20="","",MATCH(C20,Matrices!$A$2:$A$15,0))</f>
        <v/>
      </c>
    </row>
    <row r="21">
      <c r="A21" s="7" t="n"/>
      <c r="B21" s="7" t="n"/>
      <c r="C21" s="7" t="n"/>
      <c r="D21" s="7" t="n"/>
      <c r="E21" s="7" t="n"/>
      <c r="F21" s="7" t="n"/>
      <c r="G21" s="8">
        <f>IF($D21="","",INDEX(Matrices!$G$2:$G$15,N21)*D21+INDEX(Matrices!$H$2:$H$15,N21)*E21+INDEX(Matrices!$I$2:$I$15,N21)*F21)</f>
        <v/>
      </c>
      <c r="H21" s="8">
        <f>IF($D21="","",INDEX(Matrices!$J$2:$J$15,N21)*D21+INDEX(Matrices!$K$2:$K$15,N21)*E21+INDEX(Matrices!$L$2:$L$15,N21)*F21)</f>
        <v/>
      </c>
      <c r="I21" s="8">
        <f>IF($D21="","",INDEX(Matrices!$M$2:$M$15,N21)*D21+INDEX(Matrices!$N$2:$N$15,N21)*E21+INDEX(Matrices!$O$2:$O$15,N21)*F21)</f>
        <v/>
      </c>
      <c r="J21" s="8">
        <f>IF($D21="","",INDEX(Matrices!$P$2:$P$15,O21)*G21+INDEX(Matrices!$Q$2:$Q$15,O21)*H21+INDEX(Matrices!$R$2:$R$15,O21)*I21)</f>
        <v/>
      </c>
      <c r="K21" s="8">
        <f>IF($D21="","",INDEX(Matrices!$S$2:$S$15,O21)*G21+INDEX(Matrices!$T$2:$T$15,O21)*H21+INDEX(Matrices!$U$2:$U$15,O21)*I21)</f>
        <v/>
      </c>
      <c r="L21" s="8">
        <f>IF($D21="","",INDEX(Matrices!$V$2:$V$15,O21)*G21+INDEX(Matrices!$W$2:$W$15,O21)*H21+INDEX(Matrices!$X$2:$X$15,O21)*I21)</f>
        <v/>
      </c>
      <c r="N21">
        <f>IF($D21="","",MATCH(B21,Matrices!$A$2:$A$15,0))</f>
        <v/>
      </c>
      <c r="O21">
        <f>IF($D21="","",MATCH(C21,Matrices!$A$2:$A$15,0))</f>
        <v/>
      </c>
    </row>
    <row r="22">
      <c r="A22" s="7" t="n"/>
      <c r="B22" s="7" t="n"/>
      <c r="C22" s="7" t="n"/>
      <c r="D22" s="7" t="n"/>
      <c r="E22" s="7" t="n"/>
      <c r="F22" s="7" t="n"/>
      <c r="G22" s="8">
        <f>IF($D22="","",INDEX(Matrices!$G$2:$G$15,N22)*D22+INDEX(Matrices!$H$2:$H$15,N22)*E22+INDEX(Matrices!$I$2:$I$15,N22)*F22)</f>
        <v/>
      </c>
      <c r="H22" s="8">
        <f>IF($D22="","",INDEX(Matrices!$J$2:$J$15,N22)*D22+INDEX(Matrices!$K$2:$K$15,N22)*E22+INDEX(Matrices!$L$2:$L$15,N22)*F22)</f>
        <v/>
      </c>
      <c r="I22" s="8">
        <f>IF($D22="","",INDEX(Matrices!$M$2:$M$15,N22)*D22+INDEX(Matrices!$N$2:$N$15,N22)*E22+INDEX(Matrices!$O$2:$O$15,N22)*F22)</f>
        <v/>
      </c>
      <c r="J22" s="8">
        <f>IF($D22="","",INDEX(Matrices!$P$2:$P$15,O22)*G22+INDEX(Matrices!$Q$2:$Q$15,O22)*H22+INDEX(Matrices!$R$2:$R$15,O22)*I22)</f>
        <v/>
      </c>
      <c r="K22" s="8">
        <f>IF($D22="","",INDEX(Matrices!$S$2:$S$15,O22)*G22+INDEX(Matrices!$T$2:$T$15,O22)*H22+INDEX(Matrices!$U$2:$U$15,O22)*I22)</f>
        <v/>
      </c>
      <c r="L22" s="8">
        <f>IF($D22="","",INDEX(Matrices!$V$2:$V$15,O22)*G22+INDEX(Matrices!$W$2:$W$15,O22)*H22+INDEX(Matrices!$X$2:$X$15,O22)*I22)</f>
        <v/>
      </c>
      <c r="N22">
        <f>IF($D22="","",MATCH(B22,Matrices!$A$2:$A$15,0))</f>
        <v/>
      </c>
      <c r="O22">
        <f>IF($D22="","",MATCH(C22,Matrices!$A$2:$A$15,0))</f>
        <v/>
      </c>
    </row>
    <row r="23">
      <c r="A23" s="7" t="n"/>
      <c r="B23" s="7" t="n"/>
      <c r="C23" s="7" t="n"/>
      <c r="D23" s="7" t="n"/>
      <c r="E23" s="7" t="n"/>
      <c r="F23" s="7" t="n"/>
      <c r="G23" s="8">
        <f>IF($D23="","",INDEX(Matrices!$G$2:$G$15,N23)*D23+INDEX(Matrices!$H$2:$H$15,N23)*E23+INDEX(Matrices!$I$2:$I$15,N23)*F23)</f>
        <v/>
      </c>
      <c r="H23" s="8">
        <f>IF($D23="","",INDEX(Matrices!$J$2:$J$15,N23)*D23+INDEX(Matrices!$K$2:$K$15,N23)*E23+INDEX(Matrices!$L$2:$L$15,N23)*F23)</f>
        <v/>
      </c>
      <c r="I23" s="8">
        <f>IF($D23="","",INDEX(Matrices!$M$2:$M$15,N23)*D23+INDEX(Matrices!$N$2:$N$15,N23)*E23+INDEX(Matrices!$O$2:$O$15,N23)*F23)</f>
        <v/>
      </c>
      <c r="J23" s="8">
        <f>IF($D23="","",INDEX(Matrices!$P$2:$P$15,O23)*G23+INDEX(Matrices!$Q$2:$Q$15,O23)*H23+INDEX(Matrices!$R$2:$R$15,O23)*I23)</f>
        <v/>
      </c>
      <c r="K23" s="8">
        <f>IF($D23="","",INDEX(Matrices!$S$2:$S$15,O23)*G23+INDEX(Matrices!$T$2:$T$15,O23)*H23+INDEX(Matrices!$U$2:$U$15,O23)*I23)</f>
        <v/>
      </c>
      <c r="L23" s="8">
        <f>IF($D23="","",INDEX(Matrices!$V$2:$V$15,O23)*G23+INDEX(Matrices!$W$2:$W$15,O23)*H23+INDEX(Matrices!$X$2:$X$15,O23)*I23)</f>
        <v/>
      </c>
      <c r="N23">
        <f>IF($D23="","",MATCH(B23,Matrices!$A$2:$A$15,0))</f>
        <v/>
      </c>
      <c r="O23">
        <f>IF($D23="","",MATCH(C23,Matrices!$A$2:$A$15,0))</f>
        <v/>
      </c>
    </row>
    <row r="24">
      <c r="A24" s="7" t="n"/>
      <c r="B24" s="7" t="n"/>
      <c r="C24" s="7" t="n"/>
      <c r="D24" s="7" t="n"/>
      <c r="E24" s="7" t="n"/>
      <c r="F24" s="7" t="n"/>
      <c r="G24" s="8">
        <f>IF($D24="","",INDEX(Matrices!$G$2:$G$15,N24)*D24+INDEX(Matrices!$H$2:$H$15,N24)*E24+INDEX(Matrices!$I$2:$I$15,N24)*F24)</f>
        <v/>
      </c>
      <c r="H24" s="8">
        <f>IF($D24="","",INDEX(Matrices!$J$2:$J$15,N24)*D24+INDEX(Matrices!$K$2:$K$15,N24)*E24+INDEX(Matrices!$L$2:$L$15,N24)*F24)</f>
        <v/>
      </c>
      <c r="I24" s="8">
        <f>IF($D24="","",INDEX(Matrices!$M$2:$M$15,N24)*D24+INDEX(Matrices!$N$2:$N$15,N24)*E24+INDEX(Matrices!$O$2:$O$15,N24)*F24)</f>
        <v/>
      </c>
      <c r="J24" s="8">
        <f>IF($D24="","",INDEX(Matrices!$P$2:$P$15,O24)*G24+INDEX(Matrices!$Q$2:$Q$15,O24)*H24+INDEX(Matrices!$R$2:$R$15,O24)*I24)</f>
        <v/>
      </c>
      <c r="K24" s="8">
        <f>IF($D24="","",INDEX(Matrices!$S$2:$S$15,O24)*G24+INDEX(Matrices!$T$2:$T$15,O24)*H24+INDEX(Matrices!$U$2:$U$15,O24)*I24)</f>
        <v/>
      </c>
      <c r="L24" s="8">
        <f>IF($D24="","",INDEX(Matrices!$V$2:$V$15,O24)*G24+INDEX(Matrices!$W$2:$W$15,O24)*H24+INDEX(Matrices!$X$2:$X$15,O24)*I24)</f>
        <v/>
      </c>
      <c r="N24">
        <f>IF($D24="","",MATCH(B24,Matrices!$A$2:$A$15,0))</f>
        <v/>
      </c>
      <c r="O24">
        <f>IF($D24="","",MATCH(C24,Matrices!$A$2:$A$15,0))</f>
        <v/>
      </c>
    </row>
    <row r="25">
      <c r="A25" s="7" t="n"/>
      <c r="B25" s="7" t="n"/>
      <c r="C25" s="7" t="n"/>
      <c r="D25" s="7" t="n"/>
      <c r="E25" s="7" t="n"/>
      <c r="F25" s="7" t="n"/>
      <c r="G25" s="8">
        <f>IF($D25="","",INDEX(Matrices!$G$2:$G$15,N25)*D25+INDEX(Matrices!$H$2:$H$15,N25)*E25+INDEX(Matrices!$I$2:$I$15,N25)*F25)</f>
        <v/>
      </c>
      <c r="H25" s="8">
        <f>IF($D25="","",INDEX(Matrices!$J$2:$J$15,N25)*D25+INDEX(Matrices!$K$2:$K$15,N25)*E25+INDEX(Matrices!$L$2:$L$15,N25)*F25)</f>
        <v/>
      </c>
      <c r="I25" s="8">
        <f>IF($D25="","",INDEX(Matrices!$M$2:$M$15,N25)*D25+INDEX(Matrices!$N$2:$N$15,N25)*E25+INDEX(Matrices!$O$2:$O$15,N25)*F25)</f>
        <v/>
      </c>
      <c r="J25" s="8">
        <f>IF($D25="","",INDEX(Matrices!$P$2:$P$15,O25)*G25+INDEX(Matrices!$Q$2:$Q$15,O25)*H25+INDEX(Matrices!$R$2:$R$15,O25)*I25)</f>
        <v/>
      </c>
      <c r="K25" s="8">
        <f>IF($D25="","",INDEX(Matrices!$S$2:$S$15,O25)*G25+INDEX(Matrices!$T$2:$T$15,O25)*H25+INDEX(Matrices!$U$2:$U$15,O25)*I25)</f>
        <v/>
      </c>
      <c r="L25" s="8">
        <f>IF($D25="","",INDEX(Matrices!$V$2:$V$15,O25)*G25+INDEX(Matrices!$W$2:$W$15,O25)*H25+INDEX(Matrices!$X$2:$X$15,O25)*I25)</f>
        <v/>
      </c>
      <c r="N25">
        <f>IF($D25="","",MATCH(B25,Matrices!$A$2:$A$15,0))</f>
        <v/>
      </c>
      <c r="O25">
        <f>IF($D25="","",MATCH(C25,Matrices!$A$2:$A$15,0))</f>
        <v/>
      </c>
    </row>
  </sheetData>
  <dataValidations count="1">
    <dataValidation sqref="B6 B7 B8 B9 B10 B11 B12 B13 B14 B15 B16 B17 B18 B19 B20 B21 B22 B23 B24 B25 C6 C7 C8 C9 C10 C11 C12 C13 C14 C15 C16 C17 C18 C19 C20 C21 C22 C23 C24 C25" showDropDown="0" showInputMessage="0" showErrorMessage="0" allowBlank="1" type="list">
      <formula1>=Matrices!$A$2:$A$15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
  <sheetViews>
    <sheetView workbookViewId="0">
      <selection activeCell="A1" sqref="A1"/>
    </sheetView>
  </sheetViews>
  <sheetFormatPr baseColWidth="8" defaultRowHeight="15"/>
  <cols>
    <col width="22" customWidth="1" min="1" max="1"/>
  </cols>
  <sheetData>
    <row r="1">
      <c r="A1" s="6" t="inlineStr">
        <is>
          <t>Condition</t>
        </is>
      </c>
      <c r="B1" s="6" t="inlineStr">
        <is>
          <t>Observer</t>
        </is>
      </c>
      <c r="C1" s="6" t="inlineStr">
        <is>
          <t>Illuminant</t>
        </is>
      </c>
      <c r="D1" s="6" t="inlineStr">
        <is>
          <t>Xn</t>
        </is>
      </c>
      <c r="E1" s="6" t="inlineStr">
        <is>
          <t>Yn</t>
        </is>
      </c>
      <c r="F1" s="6" t="inlineStr">
        <is>
          <t>Zn</t>
        </is>
      </c>
      <c r="G1" s="6" t="inlineStr">
        <is>
          <t>A11</t>
        </is>
      </c>
      <c r="H1" s="6" t="inlineStr">
        <is>
          <t>A12</t>
        </is>
      </c>
      <c r="I1" s="6" t="inlineStr">
        <is>
          <t>A13</t>
        </is>
      </c>
      <c r="J1" s="6" t="inlineStr">
        <is>
          <t>A21</t>
        </is>
      </c>
      <c r="K1" s="6" t="inlineStr">
        <is>
          <t>A22</t>
        </is>
      </c>
      <c r="L1" s="6" t="inlineStr">
        <is>
          <t>A23</t>
        </is>
      </c>
      <c r="M1" s="6" t="inlineStr">
        <is>
          <t>A31</t>
        </is>
      </c>
      <c r="N1" s="6" t="inlineStr">
        <is>
          <t>A32</t>
        </is>
      </c>
      <c r="O1" s="6" t="inlineStr">
        <is>
          <t>A33</t>
        </is>
      </c>
      <c r="P1" s="6" t="inlineStr">
        <is>
          <t>B11</t>
        </is>
      </c>
      <c r="Q1" s="6" t="inlineStr">
        <is>
          <t>B12</t>
        </is>
      </c>
      <c r="R1" s="6" t="inlineStr">
        <is>
          <t>B13</t>
        </is>
      </c>
      <c r="S1" s="6" t="inlineStr">
        <is>
          <t>B21</t>
        </is>
      </c>
      <c r="T1" s="6" t="inlineStr">
        <is>
          <t>B22</t>
        </is>
      </c>
      <c r="U1" s="6" t="inlineStr">
        <is>
          <t>B23</t>
        </is>
      </c>
      <c r="V1" s="6" t="inlineStr">
        <is>
          <t>B31</t>
        </is>
      </c>
      <c r="W1" s="6" t="inlineStr">
        <is>
          <t>B32</t>
        </is>
      </c>
      <c r="X1" s="6" t="inlineStr">
        <is>
          <t>B33</t>
        </is>
      </c>
    </row>
    <row r="2">
      <c r="A2" t="inlineStr">
        <is>
          <t>CIE 1931 2deg C</t>
        </is>
      </c>
      <c r="B2" t="inlineStr">
        <is>
          <t>CIE 1931 2deg</t>
        </is>
      </c>
      <c r="C2" t="inlineStr">
        <is>
          <t>C</t>
        </is>
      </c>
      <c r="D2" t="n">
        <v>98.07153176</v>
      </c>
      <c r="E2" t="n">
        <v>100</v>
      </c>
      <c r="F2" t="n">
        <v>118.2250117</v>
      </c>
      <c r="G2" t="n">
        <v>-5.76359435818e-16</v>
      </c>
      <c r="H2" t="n">
        <v>1</v>
      </c>
      <c r="I2" t="n">
        <v>-2.24061311919e-16</v>
      </c>
      <c r="J2" t="n">
        <v>4.79199639186</v>
      </c>
      <c r="K2" t="n">
        <v>-4.74936773785</v>
      </c>
      <c r="L2" t="n">
        <v>0.0421090881064</v>
      </c>
      <c r="M2" t="n">
        <v>0.582518685363</v>
      </c>
      <c r="N2" t="n">
        <v>1.24640673043</v>
      </c>
      <c r="O2" t="n">
        <v>-1.53748492082</v>
      </c>
      <c r="P2" t="n">
        <v>0.980715317624</v>
      </c>
      <c r="Q2" t="n">
        <v>0.207988826511</v>
      </c>
      <c r="R2" t="n">
        <v>0.005696459004</v>
      </c>
      <c r="S2" t="n">
        <v>1</v>
      </c>
      <c r="T2" t="n">
        <v>1.33771386511e-16</v>
      </c>
      <c r="U2" t="n">
        <v>-1.11022302463e-16</v>
      </c>
      <c r="V2" t="n">
        <v>1.18225011728</v>
      </c>
      <c r="W2" t="n">
        <v>0.07880231939100001</v>
      </c>
      <c r="X2" t="n">
        <v>-0.648254622008</v>
      </c>
    </row>
    <row r="3">
      <c r="A3" t="inlineStr">
        <is>
          <t>CIE 1931 2deg D50</t>
        </is>
      </c>
      <c r="B3" t="inlineStr">
        <is>
          <t>CIE 1931 2deg</t>
        </is>
      </c>
      <c r="C3" t="inlineStr">
        <is>
          <t>D50</t>
        </is>
      </c>
      <c r="D3" t="n">
        <v>96.42455651</v>
      </c>
      <c r="E3" t="n">
        <v>100</v>
      </c>
      <c r="F3" t="n">
        <v>82.46790941</v>
      </c>
      <c r="G3" t="n">
        <v>-0.0626484774233</v>
      </c>
      <c r="H3" t="n">
        <v>1.0383941711</v>
      </c>
      <c r="I3" t="n">
        <v>0.026694438566</v>
      </c>
      <c r="J3" t="n">
        <v>4.63348866557</v>
      </c>
      <c r="K3" t="n">
        <v>-4.77194868402</v>
      </c>
      <c r="L3" t="n">
        <v>0.368783190142</v>
      </c>
      <c r="M3" t="n">
        <v>0.345181418424</v>
      </c>
      <c r="N3" t="n">
        <v>1.43700692512</v>
      </c>
      <c r="O3" t="n">
        <v>-2.14610336272</v>
      </c>
      <c r="P3" t="n">
        <v>0.964245565128</v>
      </c>
      <c r="Q3" t="n">
        <v>0.225082582216</v>
      </c>
      <c r="R3" t="n">
        <v>0.0506716818048</v>
      </c>
      <c r="S3" t="n">
        <v>1</v>
      </c>
      <c r="T3" t="n">
        <v>0.0124349782339</v>
      </c>
      <c r="U3" t="n">
        <v>0.0145753695054</v>
      </c>
      <c r="V3" t="n">
        <v>0.824679094092</v>
      </c>
      <c r="W3" t="n">
        <v>0.0445288314104</v>
      </c>
      <c r="X3" t="n">
        <v>-0.448051192122</v>
      </c>
    </row>
    <row r="4">
      <c r="A4" t="inlineStr">
        <is>
          <t>CIE 1931 2deg D65</t>
        </is>
      </c>
      <c r="B4" t="inlineStr">
        <is>
          <t>CIE 1931 2deg</t>
        </is>
      </c>
      <c r="C4" t="inlineStr">
        <is>
          <t>D65</t>
        </is>
      </c>
      <c r="D4" t="n">
        <v>95.04296621</v>
      </c>
      <c r="E4" t="n">
        <v>100</v>
      </c>
      <c r="F4" t="n">
        <v>108.8800568</v>
      </c>
      <c r="G4" t="n">
        <v>0.0296439280038</v>
      </c>
      <c r="H4" t="n">
        <v>0.974870097833</v>
      </c>
      <c r="I4" t="n">
        <v>-0.0027962570912</v>
      </c>
      <c r="J4" t="n">
        <v>4.7853275105</v>
      </c>
      <c r="K4" t="n">
        <v>-4.67858277782</v>
      </c>
      <c r="L4" t="n">
        <v>0.119825037537</v>
      </c>
      <c r="M4" t="n">
        <v>0.606181429755</v>
      </c>
      <c r="N4" t="n">
        <v>1.24443242556</v>
      </c>
      <c r="O4" t="n">
        <v>-1.67208329095</v>
      </c>
      <c r="P4" t="n">
        <v>0.95042966211</v>
      </c>
      <c r="Q4" t="n">
        <v>0.201456988243</v>
      </c>
      <c r="R4" t="n">
        <v>0.0128474135303</v>
      </c>
      <c r="S4" t="n">
        <v>1</v>
      </c>
      <c r="T4" t="n">
        <v>-0.00592909010264</v>
      </c>
      <c r="U4" t="n">
        <v>-0.00209721044058</v>
      </c>
      <c r="V4" t="n">
        <v>1.08880056805</v>
      </c>
      <c r="W4" t="n">
        <v>0.06862166125959999</v>
      </c>
      <c r="X4" t="n">
        <v>-0.5949595803960001</v>
      </c>
    </row>
    <row r="5">
      <c r="A5" t="inlineStr">
        <is>
          <t>CIE 1931 2deg A</t>
        </is>
      </c>
      <c r="B5" t="inlineStr">
        <is>
          <t>CIE 1931 2deg</t>
        </is>
      </c>
      <c r="C5" t="inlineStr">
        <is>
          <t>A</t>
        </is>
      </c>
      <c r="D5" t="n">
        <v>109.8489889</v>
      </c>
      <c r="E5" t="n">
        <v>100</v>
      </c>
      <c r="F5" t="n">
        <v>35.58247585</v>
      </c>
      <c r="G5" t="n">
        <v>-0.338100298687</v>
      </c>
      <c r="H5" t="n">
        <v>1.300064508</v>
      </c>
      <c r="I5" t="n">
        <v>0.200478605542</v>
      </c>
      <c r="J5" t="n">
        <v>4.3533489597</v>
      </c>
      <c r="K5" t="n">
        <v>-5.26214489796</v>
      </c>
      <c r="L5" t="n">
        <v>1.34907724407</v>
      </c>
      <c r="M5" t="n">
        <v>-0.35308386147</v>
      </c>
      <c r="N5" t="n">
        <v>2.10843791834</v>
      </c>
      <c r="O5" t="n">
        <v>-4.83546696924</v>
      </c>
      <c r="P5" t="n">
        <v>1.0984898885</v>
      </c>
      <c r="Q5" t="n">
        <v>0.326094623197</v>
      </c>
      <c r="R5" t="n">
        <v>0.136522606982</v>
      </c>
      <c r="S5" t="n">
        <v>1</v>
      </c>
      <c r="T5" t="n">
        <v>0.0829030412774</v>
      </c>
      <c r="U5" t="n">
        <v>0.0645896692047</v>
      </c>
      <c r="V5" t="n">
        <v>0.355824758532</v>
      </c>
      <c r="W5" t="n">
        <v>0.0123374158879</v>
      </c>
      <c r="X5" t="n">
        <v>-0.188610661053</v>
      </c>
    </row>
    <row r="6">
      <c r="A6" t="inlineStr">
        <is>
          <t>CIE 1931 2deg E</t>
        </is>
      </c>
      <c r="B6" t="inlineStr">
        <is>
          <t>CIE 1931 2deg</t>
        </is>
      </c>
      <c r="C6" t="inlineStr">
        <is>
          <t>E</t>
        </is>
      </c>
      <c r="D6" t="n">
        <v>100.0009218</v>
      </c>
      <c r="E6" t="n">
        <v>100</v>
      </c>
      <c r="F6" t="n">
        <v>100.0009967</v>
      </c>
      <c r="G6" t="n">
        <v>-0.0740731609839</v>
      </c>
      <c r="H6" t="n">
        <v>1.05436311962</v>
      </c>
      <c r="I6" t="n">
        <v>0.0197105277235</v>
      </c>
      <c r="J6" t="n">
        <v>4.56208156332</v>
      </c>
      <c r="K6" t="n">
        <v>-4.7300962459</v>
      </c>
      <c r="L6" t="n">
        <v>0.167970955398</v>
      </c>
      <c r="M6" t="n">
        <v>0.437028053473</v>
      </c>
      <c r="N6" t="n">
        <v>1.34124770739</v>
      </c>
      <c r="O6" t="n">
        <v>-1.7782620661</v>
      </c>
      <c r="P6" t="n">
        <v>1.00000921796</v>
      </c>
      <c r="Q6" t="n">
        <v>0.232271465328</v>
      </c>
      <c r="R6" t="n">
        <v>0.0330241365863</v>
      </c>
      <c r="S6" t="n">
        <v>1</v>
      </c>
      <c r="T6" t="n">
        <v>0.0150388065275</v>
      </c>
      <c r="U6" t="n">
        <v>0.0125046869344</v>
      </c>
      <c r="V6" t="n">
        <v>1.00000996662</v>
      </c>
      <c r="W6" t="n">
        <v>0.06842630985960001</v>
      </c>
      <c r="X6" t="n">
        <v>-0.544799139372</v>
      </c>
    </row>
    <row r="7">
      <c r="A7" t="inlineStr">
        <is>
          <t>CIE 1931 2deg F2</t>
        </is>
      </c>
      <c r="B7" t="inlineStr">
        <is>
          <t>CIE 1931 2deg</t>
        </is>
      </c>
      <c r="C7" t="inlineStr">
        <is>
          <t>F2</t>
        </is>
      </c>
      <c r="D7" t="n">
        <v>99.18575971</v>
      </c>
      <c r="E7" t="n">
        <v>100</v>
      </c>
      <c r="F7" t="n">
        <v>67.39378442</v>
      </c>
      <c r="G7" t="n">
        <v>-0.198546617042</v>
      </c>
      <c r="H7" t="n">
        <v>1.09378205369</v>
      </c>
      <c r="I7" t="n">
        <v>0.153052566617</v>
      </c>
      <c r="J7" t="n">
        <v>6.04531787623</v>
      </c>
      <c r="K7" t="n">
        <v>-6.09833863722</v>
      </c>
      <c r="L7" t="n">
        <v>0.15171157972</v>
      </c>
      <c r="M7" t="n">
        <v>0.576602171339</v>
      </c>
      <c r="N7" t="n">
        <v>1.05342664337</v>
      </c>
      <c r="O7" t="n">
        <v>-2.41169701546</v>
      </c>
      <c r="P7" t="n">
        <v>0.991857597069</v>
      </c>
      <c r="Q7" t="n">
        <v>0.190844049096</v>
      </c>
      <c r="R7" t="n">
        <v>0.0749512073697</v>
      </c>
      <c r="S7" t="n">
        <v>1</v>
      </c>
      <c r="T7" t="n">
        <v>0.0266301978327</v>
      </c>
      <c r="U7" t="n">
        <v>0.0651378158167</v>
      </c>
      <c r="V7" t="n">
        <v>0.673937844214</v>
      </c>
      <c r="W7" t="n">
        <v>0.057260116891</v>
      </c>
      <c r="X7" t="n">
        <v>-0.36827389789</v>
      </c>
    </row>
    <row r="8">
      <c r="A8" t="inlineStr">
        <is>
          <t>CIE 1931 2deg F11</t>
        </is>
      </c>
      <c r="B8" t="inlineStr">
        <is>
          <t>CIE 1931 2deg</t>
        </is>
      </c>
      <c r="C8" t="inlineStr">
        <is>
          <t>F11</t>
        </is>
      </c>
      <c r="D8" t="n">
        <v>100.961007</v>
      </c>
      <c r="E8" t="n">
        <v>100</v>
      </c>
      <c r="F8" t="n">
        <v>64.35058522</v>
      </c>
      <c r="G8" t="n">
        <v>-0.123659146554</v>
      </c>
      <c r="H8" t="n">
        <v>1.05658598171</v>
      </c>
      <c r="I8" t="n">
        <v>0.106077571187</v>
      </c>
      <c r="J8" t="n">
        <v>4.33731733991</v>
      </c>
      <c r="K8" t="n">
        <v>-4.58453337182</v>
      </c>
      <c r="L8" t="n">
        <v>0.319397422388</v>
      </c>
      <c r="M8" t="n">
        <v>0.43249735558</v>
      </c>
      <c r="N8" t="n">
        <v>1.22995007853</v>
      </c>
      <c r="O8" t="n">
        <v>-2.58988128576</v>
      </c>
      <c r="P8" t="n">
        <v>1.00961006958</v>
      </c>
      <c r="Q8" t="n">
        <v>0.252117923389</v>
      </c>
      <c r="R8" t="n">
        <v>0.0724445556358</v>
      </c>
      <c r="S8" t="n">
        <v>1</v>
      </c>
      <c r="T8" t="n">
        <v>0.0241295920807</v>
      </c>
      <c r="U8" t="n">
        <v>0.0439342534065</v>
      </c>
      <c r="V8" t="n">
        <v>0.643505852163</v>
      </c>
      <c r="W8" t="n">
        <v>0.0535617325773</v>
      </c>
      <c r="X8" t="n">
        <v>-0.353155562714</v>
      </c>
    </row>
    <row r="9">
      <c r="A9" t="inlineStr">
        <is>
          <t>CIE 1964 10deg C</t>
        </is>
      </c>
      <c r="B9" t="inlineStr">
        <is>
          <t>CIE 1964 10deg</t>
        </is>
      </c>
      <c r="C9" t="inlineStr">
        <is>
          <t>C</t>
        </is>
      </c>
      <c r="D9" t="n">
        <v>97.28489908</v>
      </c>
      <c r="E9" t="n">
        <v>100</v>
      </c>
      <c r="F9" t="n">
        <v>116.1446458</v>
      </c>
      <c r="G9" t="n">
        <v>0.0488792369102</v>
      </c>
      <c r="H9" t="n">
        <v>1.02267841012</v>
      </c>
      <c r="I9" t="n">
        <v>-0.0604681567041</v>
      </c>
      <c r="J9" t="n">
        <v>5.08353449461</v>
      </c>
      <c r="K9" t="n">
        <v>-5.30114029612</v>
      </c>
      <c r="L9" t="n">
        <v>0.306194823813</v>
      </c>
      <c r="M9" t="n">
        <v>0.822643894285</v>
      </c>
      <c r="N9" t="n">
        <v>1.08193613546</v>
      </c>
      <c r="O9" t="n">
        <v>-1.62060369211</v>
      </c>
      <c r="P9" t="n">
        <v>0.972848990764</v>
      </c>
      <c r="Q9" t="n">
        <v>0.187500643061</v>
      </c>
      <c r="R9" t="n">
        <v>-0.00087292091391</v>
      </c>
      <c r="S9" t="n">
        <v>1</v>
      </c>
      <c r="T9" t="n">
        <v>-0.00347103955991</v>
      </c>
      <c r="U9" t="n">
        <v>-0.0379679321663</v>
      </c>
      <c r="V9" t="n">
        <v>1.16144645785</v>
      </c>
      <c r="W9" t="n">
        <v>0.0928609608838</v>
      </c>
      <c r="X9" t="n">
        <v>-0.642845000249</v>
      </c>
    </row>
    <row r="10">
      <c r="A10" t="inlineStr">
        <is>
          <t>CIE 1964 10deg D50</t>
        </is>
      </c>
      <c r="B10" t="inlineStr">
        <is>
          <t>CIE 1964 10deg</t>
        </is>
      </c>
      <c r="C10" t="inlineStr">
        <is>
          <t>D50</t>
        </is>
      </c>
      <c r="D10" t="n">
        <v>96.72536509</v>
      </c>
      <c r="E10" t="n">
        <v>100</v>
      </c>
      <c r="F10" t="n">
        <v>81.38292703</v>
      </c>
      <c r="G10" t="n">
        <v>-0.0339037495599</v>
      </c>
      <c r="H10" t="n">
        <v>1.06622061882</v>
      </c>
      <c r="I10" t="n">
        <v>-0.0410738400473</v>
      </c>
      <c r="J10" t="n">
        <v>4.92782240255</v>
      </c>
      <c r="K10" t="n">
        <v>-5.31843337773</v>
      </c>
      <c r="L10" t="n">
        <v>0.67824934271</v>
      </c>
      <c r="M10" t="n">
        <v>0.548418221158</v>
      </c>
      <c r="N10" t="n">
        <v>1.280585356</v>
      </c>
      <c r="O10" t="n">
        <v>-2.22533760914</v>
      </c>
      <c r="P10" t="n">
        <v>0.967253650941</v>
      </c>
      <c r="Q10" t="n">
        <v>0.204630055418</v>
      </c>
      <c r="R10" t="n">
        <v>0.0445152135278</v>
      </c>
      <c r="S10" t="n">
        <v>1</v>
      </c>
      <c r="T10" t="n">
        <v>0.00864108728763</v>
      </c>
      <c r="U10" t="n">
        <v>-0.0158236791261</v>
      </c>
      <c r="V10" t="n">
        <v>0.813829270319</v>
      </c>
      <c r="W10" t="n">
        <v>0.0554021557547</v>
      </c>
      <c r="X10" t="n">
        <v>-0.447505409274</v>
      </c>
    </row>
    <row r="11">
      <c r="A11" t="inlineStr">
        <is>
          <t>CIE 1964 10deg D65</t>
        </is>
      </c>
      <c r="B11" t="inlineStr">
        <is>
          <t>CIE 1964 10deg</t>
        </is>
      </c>
      <c r="C11" t="inlineStr">
        <is>
          <t>D65</t>
        </is>
      </c>
      <c r="D11" t="n">
        <v>94.81179252</v>
      </c>
      <c r="E11" t="n">
        <v>100</v>
      </c>
      <c r="F11" t="n">
        <v>107.3241144</v>
      </c>
      <c r="G11" t="n">
        <v>0.0783707052127</v>
      </c>
      <c r="H11" t="n">
        <v>0.993002356196</v>
      </c>
      <c r="I11" t="n">
        <v>-0.0627137964102</v>
      </c>
      <c r="J11" t="n">
        <v>5.06409569513</v>
      </c>
      <c r="K11" t="n">
        <v>-5.21344249928</v>
      </c>
      <c r="L11" t="n">
        <v>0.383960863006</v>
      </c>
      <c r="M11" t="n">
        <v>0.849656578962</v>
      </c>
      <c r="N11" t="n">
        <v>1.07049261956</v>
      </c>
      <c r="O11" t="n">
        <v>-1.74803888431</v>
      </c>
      <c r="P11" t="n">
        <v>0.948117925171</v>
      </c>
      <c r="Q11" t="n">
        <v>0.181802836586</v>
      </c>
      <c r="R11" t="n">
        <v>0.00591811749336</v>
      </c>
      <c r="S11" t="n">
        <v>1</v>
      </c>
      <c r="T11" t="n">
        <v>-0.00912023907065</v>
      </c>
      <c r="U11" t="n">
        <v>-0.0378799418416</v>
      </c>
      <c r="V11" t="n">
        <v>1.0732411442</v>
      </c>
      <c r="W11" t="n">
        <v>0.0827823847992</v>
      </c>
      <c r="X11" t="n">
        <v>-0.592390615564</v>
      </c>
    </row>
    <row r="12">
      <c r="A12" t="inlineStr">
        <is>
          <t>CIE 1964 10deg A</t>
        </is>
      </c>
      <c r="B12" t="inlineStr">
        <is>
          <t>CIE 1964 10deg</t>
        </is>
      </c>
      <c r="C12" t="inlineStr">
        <is>
          <t>A</t>
        </is>
      </c>
      <c r="D12" t="n">
        <v>111.1439206</v>
      </c>
      <c r="E12" t="n">
        <v>100</v>
      </c>
      <c r="F12" t="n">
        <v>35.19952297</v>
      </c>
      <c r="G12" t="n">
        <v>-0.362330367947</v>
      </c>
      <c r="H12" t="n">
        <v>1.37187978788</v>
      </c>
      <c r="I12" t="n">
        <v>0.0875818358597</v>
      </c>
      <c r="J12" t="n">
        <v>4.70805231123</v>
      </c>
      <c r="K12" t="n">
        <v>-5.8797329744</v>
      </c>
      <c r="L12" t="n">
        <v>1.83814722212</v>
      </c>
      <c r="M12" t="n">
        <v>-0.235247845281</v>
      </c>
      <c r="N12" t="n">
        <v>1.9945872803</v>
      </c>
      <c r="O12" t="n">
        <v>-4.92371332249</v>
      </c>
      <c r="P12" t="n">
        <v>1.1114392056</v>
      </c>
      <c r="Q12" t="n">
        <v>0.30460811314</v>
      </c>
      <c r="R12" t="n">
        <v>0.133487959194</v>
      </c>
      <c r="S12" t="n">
        <v>1</v>
      </c>
      <c r="T12" t="n">
        <v>0.0793283091867</v>
      </c>
      <c r="U12" t="n">
        <v>0.0474030333895</v>
      </c>
      <c r="V12" t="n">
        <v>0.351995229719</v>
      </c>
      <c r="W12" t="n">
        <v>0.0175820216431</v>
      </c>
      <c r="X12" t="n">
        <v>-0.190273723502</v>
      </c>
    </row>
    <row r="13">
      <c r="A13" t="inlineStr">
        <is>
          <t>CIE 1964 10deg E</t>
        </is>
      </c>
      <c r="B13" t="inlineStr">
        <is>
          <t>CIE 1964 10deg</t>
        </is>
      </c>
      <c r="C13" t="inlineStr">
        <is>
          <t>E</t>
        </is>
      </c>
      <c r="D13" t="n">
        <v>99.98850079</v>
      </c>
      <c r="E13" t="n">
        <v>100</v>
      </c>
      <c r="F13" t="n">
        <v>100.0090734</v>
      </c>
      <c r="G13" t="n">
        <v>-0.0409050559404</v>
      </c>
      <c r="H13" t="n">
        <v>1.08336293683</v>
      </c>
      <c r="I13" t="n">
        <v>-0.0424587322153</v>
      </c>
      <c r="J13" t="n">
        <v>4.84371515302</v>
      </c>
      <c r="K13" t="n">
        <v>-5.25686483158</v>
      </c>
      <c r="L13" t="n">
        <v>0.413669133873</v>
      </c>
      <c r="M13" t="n">
        <v>0.657112799535</v>
      </c>
      <c r="N13" t="n">
        <v>1.17326496398</v>
      </c>
      <c r="O13" t="n">
        <v>-1.83013614586</v>
      </c>
      <c r="P13" t="n">
        <v>0.999885007892</v>
      </c>
      <c r="Q13" t="n">
        <v>0.21155687648</v>
      </c>
      <c r="R13" t="n">
        <v>0.0246215016101</v>
      </c>
      <c r="S13" t="n">
        <v>1</v>
      </c>
      <c r="T13" t="n">
        <v>0.0112474318725</v>
      </c>
      <c r="U13" t="n">
        <v>-0.0206574887337</v>
      </c>
      <c r="V13" t="n">
        <v>1.00009073362</v>
      </c>
      <c r="W13" t="n">
        <v>0.083170287336</v>
      </c>
      <c r="X13" t="n">
        <v>-0.550810171256</v>
      </c>
    </row>
    <row r="14">
      <c r="A14" t="inlineStr">
        <is>
          <t>CIE 1964 10deg F2</t>
        </is>
      </c>
      <c r="B14" t="inlineStr">
        <is>
          <t>CIE 1964 10deg</t>
        </is>
      </c>
      <c r="C14" t="inlineStr">
        <is>
          <t>F2</t>
        </is>
      </c>
      <c r="D14" t="n">
        <v>103.2804973</v>
      </c>
      <c r="E14" t="n">
        <v>100</v>
      </c>
      <c r="F14" t="n">
        <v>69.02994352</v>
      </c>
      <c r="G14" t="n">
        <v>-0.199133876972</v>
      </c>
      <c r="H14" t="n">
        <v>1.14288556701</v>
      </c>
      <c r="I14" t="n">
        <v>0.0909473311965</v>
      </c>
      <c r="J14" t="n">
        <v>6.31794213693</v>
      </c>
      <c r="K14" t="n">
        <v>-6.8327162534</v>
      </c>
      <c r="L14" t="n">
        <v>0.445479427525</v>
      </c>
      <c r="M14" t="n">
        <v>0.737504173355</v>
      </c>
      <c r="N14" t="n">
        <v>0.882420583823</v>
      </c>
      <c r="O14" t="n">
        <v>-2.38174693118</v>
      </c>
      <c r="P14" t="n">
        <v>1.03280497269</v>
      </c>
      <c r="Q14" t="n">
        <v>0.18224938555</v>
      </c>
      <c r="R14" t="n">
        <v>0.0735255310132</v>
      </c>
      <c r="S14" t="n">
        <v>1</v>
      </c>
      <c r="T14" t="n">
        <v>0.0264831548934</v>
      </c>
      <c r="U14" t="n">
        <v>0.0431385175865</v>
      </c>
      <c r="V14" t="n">
        <v>0.6902994352239999</v>
      </c>
      <c r="W14" t="n">
        <v>0.0662450579327</v>
      </c>
      <c r="X14" t="n">
        <v>-0.381110304488</v>
      </c>
    </row>
    <row r="15">
      <c r="A15" t="inlineStr">
        <is>
          <t>CIE 1964 10deg F11</t>
        </is>
      </c>
      <c r="B15" t="inlineStr">
        <is>
          <t>CIE 1964 10deg</t>
        </is>
      </c>
      <c r="C15" t="inlineStr">
        <is>
          <t>F11</t>
        </is>
      </c>
      <c r="D15" t="n">
        <v>103.8644064</v>
      </c>
      <c r="E15" t="n">
        <v>100</v>
      </c>
      <c r="F15" t="n">
        <v>65.60852739000001</v>
      </c>
      <c r="G15" t="n">
        <v>-0.13852650886</v>
      </c>
      <c r="H15" t="n">
        <v>1.1117752598</v>
      </c>
      <c r="I15" t="n">
        <v>0.0489333896677</v>
      </c>
      <c r="J15" t="n">
        <v>4.68480984578</v>
      </c>
      <c r="K15" t="n">
        <v>-5.21352223043</v>
      </c>
      <c r="L15" t="n">
        <v>0.529919365403</v>
      </c>
      <c r="M15" t="n">
        <v>0.536227115275</v>
      </c>
      <c r="N15" t="n">
        <v>1.13090058862</v>
      </c>
      <c r="O15" t="n">
        <v>-2.57260719918</v>
      </c>
      <c r="P15" t="n">
        <v>1.03864406424</v>
      </c>
      <c r="Q15" t="n">
        <v>0.236334404618</v>
      </c>
      <c r="R15" t="n">
        <v>0.0684374017515</v>
      </c>
      <c r="S15" t="n">
        <v>1</v>
      </c>
      <c r="T15" t="n">
        <v>0.0267611852285</v>
      </c>
      <c r="U15" t="n">
        <v>0.0245333449978</v>
      </c>
      <c r="V15" t="n">
        <v>0.656085273929</v>
      </c>
      <c r="W15" t="n">
        <v>0.0610249229673</v>
      </c>
      <c r="X15" t="n">
        <v>-0.363661127699</v>
      </c>
    </row>
    <row r="17">
      <c r="A17" t="inlineStr">
        <is>
          <t>A = XYZ to Wpt (W = A11 X + A12 Y + A13 Z, and so on). B = Wpt to XYZ, the inverse of A.</t>
        </is>
      </c>
    </row>
    <row r="18">
      <c r="A18" t="inlineStr">
        <is>
          <t>Values from octave/exportTables.m; white has Y = 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2026-10-26T22:33:28Z</dcterms:created>
  <dcterms:modified xsi:type="dcterms:W3CDTF">2026-10-26T22:33:28Z</dcterms:modified>
</cp:coreProperties>
</file>