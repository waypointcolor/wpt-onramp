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sults" sheetId="2" state="visible" r:id="rId2"/>
    <sheet name="Inputs" sheetId="3" state="visible" r:id="rId3"/>
    <sheet name="Base" sheetId="4" state="visible" r:id="rId4"/>
    <sheet name="Tables" sheetId="5" state="visible" r:id="rId5"/>
    <sheet name="Source" sheetId="6" state="visible" r:id="rId6"/>
    <sheet name="Destin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Wpt normalization and material adjustment transforms (MATs)</t>
        </is>
      </c>
    </row>
    <row r="2">
      <c r="A2" s="2" t="inlineStr"/>
    </row>
    <row r="3">
      <c r="A3" s="2" t="inlineStr">
        <is>
          <t>Inputs       Pick an observer and a light for the source and for the destination, or paste your own (380-780 nm, 5 nm).</t>
        </is>
      </c>
    </row>
    <row r="4">
      <c r="A4" s="2" t="inlineStr">
        <is>
          <t>Source, Destination   Each Wpt normalization in four steps, as in the Technical annex (A.3). Results at rows 59-65.</t>
        </is>
      </c>
    </row>
    <row r="5">
      <c r="A5" s="2" t="inlineStr">
        <is>
          <t>Results      Both normalizations, the MAT from source to destination and back, an XYZ converter, and the</t>
        </is>
      </c>
    </row>
    <row r="6">
      <c r="A6" s="2" t="inlineStr">
        <is>
          <t xml:space="preserve">             source observer's functions converted by the MAT (meaningful when both conditions share one light).</t>
        </is>
      </c>
    </row>
    <row r="7">
      <c r="A7" s="2" t="inlineStr">
        <is>
          <t>Base         The 40 base reflectances and their reference p, t (Technical annex A.4).</t>
        </is>
      </c>
    </row>
    <row r="8">
      <c r="A8" s="2" t="inlineStr"/>
    </row>
    <row r="9">
      <c r="A9" s="2" t="inlineStr">
        <is>
          <t>This workbook uses the reference coordinates of the Wpt toolbox. The 2015 Wpt paper's matrices differ slightly</t>
        </is>
      </c>
    </row>
    <row r="10">
      <c r="A10" s="2" t="inlineStr">
        <is>
          <t>(Technical annex A.4); MATs are the same with either.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Results</t>
        </is>
      </c>
    </row>
    <row r="2">
      <c r="A2">
        <f>Inputs!C4&amp;" / "&amp;Inputs!C5&amp;"  to  "&amp;Inputs!H4&amp;" / "&amp;Inputs!H5</f>
        <v/>
      </c>
    </row>
    <row r="3">
      <c r="A3" s="3" t="inlineStr">
        <is>
          <t>Source: XYZ to Wpt</t>
        </is>
      </c>
      <c r="E3" s="3" t="inlineStr">
        <is>
          <t>Source: Wpt to XYZ</t>
        </is>
      </c>
      <c r="I3" s="3" t="inlineStr">
        <is>
          <t>Source observer functions converted by the MAT (C'(nm) = MAT x C(nm))</t>
        </is>
      </c>
    </row>
    <row r="4">
      <c r="A4" s="4">
        <f>Source!$B$59</f>
        <v/>
      </c>
      <c r="B4" s="4">
        <f>Source!$C$59</f>
        <v/>
      </c>
      <c r="C4" s="4">
        <f>Source!$D$59</f>
        <v/>
      </c>
      <c r="E4" s="4">
        <f>Source!$B$63</f>
        <v/>
      </c>
      <c r="F4" s="4">
        <f>Source!$C$63</f>
        <v/>
      </c>
      <c r="G4" s="4">
        <f>Source!$D$63</f>
        <v/>
      </c>
      <c r="I4" s="3" t="inlineStr">
        <is>
          <t>nm</t>
        </is>
      </c>
      <c r="J4" s="3" t="inlineStr">
        <is>
          <t>x'</t>
        </is>
      </c>
      <c r="K4" s="3" t="inlineStr">
        <is>
          <t>y'</t>
        </is>
      </c>
      <c r="L4" s="3" t="inlineStr">
        <is>
          <t>z'</t>
        </is>
      </c>
    </row>
    <row r="5">
      <c r="A5" s="4">
        <f>Source!$B$60</f>
        <v/>
      </c>
      <c r="B5" s="4">
        <f>Source!$C$60</f>
        <v/>
      </c>
      <c r="C5" s="4">
        <f>Source!$D$60</f>
        <v/>
      </c>
      <c r="E5" s="4">
        <f>Source!$B$64</f>
        <v/>
      </c>
      <c r="F5" s="4">
        <f>Source!$C$64</f>
        <v/>
      </c>
      <c r="G5" s="4">
        <f>Source!$D$64</f>
        <v/>
      </c>
      <c r="I5" t="n">
        <v>380</v>
      </c>
      <c r="J5" s="4">
        <f>$A$14*INDEX(CHOOSE(MATCH(Inputs!$C$4,{"CIE 1931 2deg","CIE 1964 10deg","CIE 2015 2deg","Pasted below"},0),Tables!$B$5:$B$85,Tables!$E$5:$E$85,Tables!$H$5:$H$85,Inputs!$C$9:$C$89),1)+$B$14*INDEX(CHOOSE(MATCH(Inputs!$C$4,{"CIE 1931 2deg","CIE 1964 10deg","CIE 2015 2deg","Pasted below"},0),Tables!$C$5:$C$85,Tables!$F$5:$F$85,Tables!$I$5:$I$85,Inputs!$D$9:$D$89),1)+$C$14*INDEX(CHOOSE(MATCH(Inputs!$C$4,{"CIE 1931 2deg","CIE 1964 10deg","CIE 2015 2deg","Pasted below"},0),Tables!$D$5:$D$85,Tables!$G$5:$G$85,Tables!$J$5:$J$85,Inputs!$E$9:$E$89),1)</f>
        <v/>
      </c>
      <c r="K5" s="4">
        <f>$A$15*INDEX(CHOOSE(MATCH(Inputs!$C$4,{"CIE 1931 2deg","CIE 1964 10deg","CIE 2015 2deg","Pasted below"},0),Tables!$B$5:$B$85,Tables!$E$5:$E$85,Tables!$H$5:$H$85,Inputs!$C$9:$C$89),1)+$B$15*INDEX(CHOOSE(MATCH(Inputs!$C$4,{"CIE 1931 2deg","CIE 1964 10deg","CIE 2015 2deg","Pasted below"},0),Tables!$C$5:$C$85,Tables!$F$5:$F$85,Tables!$I$5:$I$85,Inputs!$D$9:$D$89),1)+$C$15*INDEX(CHOOSE(MATCH(Inputs!$C$4,{"CIE 1931 2deg","CIE 1964 10deg","CIE 2015 2deg","Pasted below"},0),Tables!$D$5:$D$85,Tables!$G$5:$G$85,Tables!$J$5:$J$85,Inputs!$E$9:$E$89),1)</f>
        <v/>
      </c>
      <c r="L5" s="4">
        <f>$A$16*INDEX(CHOOSE(MATCH(Inputs!$C$4,{"CIE 1931 2deg","CIE 1964 10deg","CIE 2015 2deg","Pasted below"},0),Tables!$B$5:$B$85,Tables!$E$5:$E$85,Tables!$H$5:$H$85,Inputs!$C$9:$C$89),1)+$B$16*INDEX(CHOOSE(MATCH(Inputs!$C$4,{"CIE 1931 2deg","CIE 1964 10deg","CIE 2015 2deg","Pasted below"},0),Tables!$C$5:$C$85,Tables!$F$5:$F$85,Tables!$I$5:$I$85,Inputs!$D$9:$D$89),1)+$C$16*INDEX(CHOOSE(MATCH(Inputs!$C$4,{"CIE 1931 2deg","CIE 1964 10deg","CIE 2015 2deg","Pasted below"},0),Tables!$D$5:$D$85,Tables!$G$5:$G$85,Tables!$J$5:$J$85,Inputs!$E$9:$E$89),1)</f>
        <v/>
      </c>
    </row>
    <row r="6">
      <c r="A6" s="4">
        <f>Source!$B$61</f>
        <v/>
      </c>
      <c r="B6" s="4">
        <f>Source!$C$61</f>
        <v/>
      </c>
      <c r="C6" s="4">
        <f>Source!$D$61</f>
        <v/>
      </c>
      <c r="E6" s="4">
        <f>Source!$B$65</f>
        <v/>
      </c>
      <c r="F6" s="4">
        <f>Source!$C$65</f>
        <v/>
      </c>
      <c r="G6" s="4">
        <f>Source!$D$65</f>
        <v/>
      </c>
      <c r="I6" t="n">
        <v>385</v>
      </c>
      <c r="J6" s="4">
        <f>$A$14*INDEX(CHOOSE(MATCH(Inputs!$C$4,{"CIE 1931 2deg","CIE 1964 10deg","CIE 2015 2deg","Pasted below"},0),Tables!$B$5:$B$85,Tables!$E$5:$E$85,Tables!$H$5:$H$85,Inputs!$C$9:$C$89),2)+$B$14*INDEX(CHOOSE(MATCH(Inputs!$C$4,{"CIE 1931 2deg","CIE 1964 10deg","CIE 2015 2deg","Pasted below"},0),Tables!$C$5:$C$85,Tables!$F$5:$F$85,Tables!$I$5:$I$85,Inputs!$D$9:$D$89),2)+$C$14*INDEX(CHOOSE(MATCH(Inputs!$C$4,{"CIE 1931 2deg","CIE 1964 10deg","CIE 2015 2deg","Pasted below"},0),Tables!$D$5:$D$85,Tables!$G$5:$G$85,Tables!$J$5:$J$85,Inputs!$E$9:$E$89),2)</f>
        <v/>
      </c>
      <c r="K6" s="4">
        <f>$A$15*INDEX(CHOOSE(MATCH(Inputs!$C$4,{"CIE 1931 2deg","CIE 1964 10deg","CIE 2015 2deg","Pasted below"},0),Tables!$B$5:$B$85,Tables!$E$5:$E$85,Tables!$H$5:$H$85,Inputs!$C$9:$C$89),2)+$B$15*INDEX(CHOOSE(MATCH(Inputs!$C$4,{"CIE 1931 2deg","CIE 1964 10deg","CIE 2015 2deg","Pasted below"},0),Tables!$C$5:$C$85,Tables!$F$5:$F$85,Tables!$I$5:$I$85,Inputs!$D$9:$D$89),2)+$C$15*INDEX(CHOOSE(MATCH(Inputs!$C$4,{"CIE 1931 2deg","CIE 1964 10deg","CIE 2015 2deg","Pasted below"},0),Tables!$D$5:$D$85,Tables!$G$5:$G$85,Tables!$J$5:$J$85,Inputs!$E$9:$E$89),2)</f>
        <v/>
      </c>
      <c r="L6" s="4">
        <f>$A$16*INDEX(CHOOSE(MATCH(Inputs!$C$4,{"CIE 1931 2deg","CIE 1964 10deg","CIE 2015 2deg","Pasted below"},0),Tables!$B$5:$B$85,Tables!$E$5:$E$85,Tables!$H$5:$H$85,Inputs!$C$9:$C$89),2)+$B$16*INDEX(CHOOSE(MATCH(Inputs!$C$4,{"CIE 1931 2deg","CIE 1964 10deg","CIE 2015 2deg","Pasted below"},0),Tables!$C$5:$C$85,Tables!$F$5:$F$85,Tables!$I$5:$I$85,Inputs!$D$9:$D$89),2)+$C$16*INDEX(CHOOSE(MATCH(Inputs!$C$4,{"CIE 1931 2deg","CIE 1964 10deg","CIE 2015 2deg","Pasted below"},0),Tables!$D$5:$D$85,Tables!$G$5:$G$85,Tables!$J$5:$J$85,Inputs!$E$9:$E$89),2)</f>
        <v/>
      </c>
    </row>
    <row r="7">
      <c r="I7" t="n">
        <v>390</v>
      </c>
      <c r="J7" s="4">
        <f>$A$14*INDEX(CHOOSE(MATCH(Inputs!$C$4,{"CIE 1931 2deg","CIE 1964 10deg","CIE 2015 2deg","Pasted below"},0),Tables!$B$5:$B$85,Tables!$E$5:$E$85,Tables!$H$5:$H$85,Inputs!$C$9:$C$89),3)+$B$14*INDEX(CHOOSE(MATCH(Inputs!$C$4,{"CIE 1931 2deg","CIE 1964 10deg","CIE 2015 2deg","Pasted below"},0),Tables!$C$5:$C$85,Tables!$F$5:$F$85,Tables!$I$5:$I$85,Inputs!$D$9:$D$89),3)+$C$14*INDEX(CHOOSE(MATCH(Inputs!$C$4,{"CIE 1931 2deg","CIE 1964 10deg","CIE 2015 2deg","Pasted below"},0),Tables!$D$5:$D$85,Tables!$G$5:$G$85,Tables!$J$5:$J$85,Inputs!$E$9:$E$89),3)</f>
        <v/>
      </c>
      <c r="K7" s="4">
        <f>$A$15*INDEX(CHOOSE(MATCH(Inputs!$C$4,{"CIE 1931 2deg","CIE 1964 10deg","CIE 2015 2deg","Pasted below"},0),Tables!$B$5:$B$85,Tables!$E$5:$E$85,Tables!$H$5:$H$85,Inputs!$C$9:$C$89),3)+$B$15*INDEX(CHOOSE(MATCH(Inputs!$C$4,{"CIE 1931 2deg","CIE 1964 10deg","CIE 2015 2deg","Pasted below"},0),Tables!$C$5:$C$85,Tables!$F$5:$F$85,Tables!$I$5:$I$85,Inputs!$D$9:$D$89),3)+$C$15*INDEX(CHOOSE(MATCH(Inputs!$C$4,{"CIE 1931 2deg","CIE 1964 10deg","CIE 2015 2deg","Pasted below"},0),Tables!$D$5:$D$85,Tables!$G$5:$G$85,Tables!$J$5:$J$85,Inputs!$E$9:$E$89),3)</f>
        <v/>
      </c>
      <c r="L7" s="4">
        <f>$A$16*INDEX(CHOOSE(MATCH(Inputs!$C$4,{"CIE 1931 2deg","CIE 1964 10deg","CIE 2015 2deg","Pasted below"},0),Tables!$B$5:$B$85,Tables!$E$5:$E$85,Tables!$H$5:$H$85,Inputs!$C$9:$C$89),3)+$B$16*INDEX(CHOOSE(MATCH(Inputs!$C$4,{"CIE 1931 2deg","CIE 1964 10deg","CIE 2015 2deg","Pasted below"},0),Tables!$C$5:$C$85,Tables!$F$5:$F$85,Tables!$I$5:$I$85,Inputs!$D$9:$D$89),3)+$C$16*INDEX(CHOOSE(MATCH(Inputs!$C$4,{"CIE 1931 2deg","CIE 1964 10deg","CIE 2015 2deg","Pasted below"},0),Tables!$D$5:$D$85,Tables!$G$5:$G$85,Tables!$J$5:$J$85,Inputs!$E$9:$E$89),3)</f>
        <v/>
      </c>
    </row>
    <row r="8">
      <c r="A8" s="3" t="inlineStr">
        <is>
          <t>Destination: XYZ to Wpt</t>
        </is>
      </c>
      <c r="E8" s="3" t="inlineStr">
        <is>
          <t>Destination: Wpt to XYZ</t>
        </is>
      </c>
      <c r="I8" t="n">
        <v>395</v>
      </c>
      <c r="J8" s="4">
        <f>$A$14*INDEX(CHOOSE(MATCH(Inputs!$C$4,{"CIE 1931 2deg","CIE 1964 10deg","CIE 2015 2deg","Pasted below"},0),Tables!$B$5:$B$85,Tables!$E$5:$E$85,Tables!$H$5:$H$85,Inputs!$C$9:$C$89),4)+$B$14*INDEX(CHOOSE(MATCH(Inputs!$C$4,{"CIE 1931 2deg","CIE 1964 10deg","CIE 2015 2deg","Pasted below"},0),Tables!$C$5:$C$85,Tables!$F$5:$F$85,Tables!$I$5:$I$85,Inputs!$D$9:$D$89),4)+$C$14*INDEX(CHOOSE(MATCH(Inputs!$C$4,{"CIE 1931 2deg","CIE 1964 10deg","CIE 2015 2deg","Pasted below"},0),Tables!$D$5:$D$85,Tables!$G$5:$G$85,Tables!$J$5:$J$85,Inputs!$E$9:$E$89),4)</f>
        <v/>
      </c>
      <c r="K8" s="4">
        <f>$A$15*INDEX(CHOOSE(MATCH(Inputs!$C$4,{"CIE 1931 2deg","CIE 1964 10deg","CIE 2015 2deg","Pasted below"},0),Tables!$B$5:$B$85,Tables!$E$5:$E$85,Tables!$H$5:$H$85,Inputs!$C$9:$C$89),4)+$B$15*INDEX(CHOOSE(MATCH(Inputs!$C$4,{"CIE 1931 2deg","CIE 1964 10deg","CIE 2015 2deg","Pasted below"},0),Tables!$C$5:$C$85,Tables!$F$5:$F$85,Tables!$I$5:$I$85,Inputs!$D$9:$D$89),4)+$C$15*INDEX(CHOOSE(MATCH(Inputs!$C$4,{"CIE 1931 2deg","CIE 1964 10deg","CIE 2015 2deg","Pasted below"},0),Tables!$D$5:$D$85,Tables!$G$5:$G$85,Tables!$J$5:$J$85,Inputs!$E$9:$E$89),4)</f>
        <v/>
      </c>
      <c r="L8" s="4">
        <f>$A$16*INDEX(CHOOSE(MATCH(Inputs!$C$4,{"CIE 1931 2deg","CIE 1964 10deg","CIE 2015 2deg","Pasted below"},0),Tables!$B$5:$B$85,Tables!$E$5:$E$85,Tables!$H$5:$H$85,Inputs!$C$9:$C$89),4)+$B$16*INDEX(CHOOSE(MATCH(Inputs!$C$4,{"CIE 1931 2deg","CIE 1964 10deg","CIE 2015 2deg","Pasted below"},0),Tables!$C$5:$C$85,Tables!$F$5:$F$85,Tables!$I$5:$I$85,Inputs!$D$9:$D$89),4)+$C$16*INDEX(CHOOSE(MATCH(Inputs!$C$4,{"CIE 1931 2deg","CIE 1964 10deg","CIE 2015 2deg","Pasted below"},0),Tables!$D$5:$D$85,Tables!$G$5:$G$85,Tables!$J$5:$J$85,Inputs!$E$9:$E$89),4)</f>
        <v/>
      </c>
    </row>
    <row r="9">
      <c r="A9" s="4">
        <f>Destination!$B$59</f>
        <v/>
      </c>
      <c r="B9" s="4">
        <f>Destination!$C$59</f>
        <v/>
      </c>
      <c r="C9" s="4">
        <f>Destination!$D$59</f>
        <v/>
      </c>
      <c r="E9" s="4">
        <f>Destination!$B$63</f>
        <v/>
      </c>
      <c r="F9" s="4">
        <f>Destination!$C$63</f>
        <v/>
      </c>
      <c r="G9" s="4">
        <f>Destination!$D$63</f>
        <v/>
      </c>
      <c r="I9" t="n">
        <v>400</v>
      </c>
      <c r="J9" s="4">
        <f>$A$14*INDEX(CHOOSE(MATCH(Inputs!$C$4,{"CIE 1931 2deg","CIE 1964 10deg","CIE 2015 2deg","Pasted below"},0),Tables!$B$5:$B$85,Tables!$E$5:$E$85,Tables!$H$5:$H$85,Inputs!$C$9:$C$89),5)+$B$14*INDEX(CHOOSE(MATCH(Inputs!$C$4,{"CIE 1931 2deg","CIE 1964 10deg","CIE 2015 2deg","Pasted below"},0),Tables!$C$5:$C$85,Tables!$F$5:$F$85,Tables!$I$5:$I$85,Inputs!$D$9:$D$89),5)+$C$14*INDEX(CHOOSE(MATCH(Inputs!$C$4,{"CIE 1931 2deg","CIE 1964 10deg","CIE 2015 2deg","Pasted below"},0),Tables!$D$5:$D$85,Tables!$G$5:$G$85,Tables!$J$5:$J$85,Inputs!$E$9:$E$89),5)</f>
        <v/>
      </c>
      <c r="K9" s="4">
        <f>$A$15*INDEX(CHOOSE(MATCH(Inputs!$C$4,{"CIE 1931 2deg","CIE 1964 10deg","CIE 2015 2deg","Pasted below"},0),Tables!$B$5:$B$85,Tables!$E$5:$E$85,Tables!$H$5:$H$85,Inputs!$C$9:$C$89),5)+$B$15*INDEX(CHOOSE(MATCH(Inputs!$C$4,{"CIE 1931 2deg","CIE 1964 10deg","CIE 2015 2deg","Pasted below"},0),Tables!$C$5:$C$85,Tables!$F$5:$F$85,Tables!$I$5:$I$85,Inputs!$D$9:$D$89),5)+$C$15*INDEX(CHOOSE(MATCH(Inputs!$C$4,{"CIE 1931 2deg","CIE 1964 10deg","CIE 2015 2deg","Pasted below"},0),Tables!$D$5:$D$85,Tables!$G$5:$G$85,Tables!$J$5:$J$85,Inputs!$E$9:$E$89),5)</f>
        <v/>
      </c>
      <c r="L9" s="4">
        <f>$A$16*INDEX(CHOOSE(MATCH(Inputs!$C$4,{"CIE 1931 2deg","CIE 1964 10deg","CIE 2015 2deg","Pasted below"},0),Tables!$B$5:$B$85,Tables!$E$5:$E$85,Tables!$H$5:$H$85,Inputs!$C$9:$C$89),5)+$B$16*INDEX(CHOOSE(MATCH(Inputs!$C$4,{"CIE 1931 2deg","CIE 1964 10deg","CIE 2015 2deg","Pasted below"},0),Tables!$C$5:$C$85,Tables!$F$5:$F$85,Tables!$I$5:$I$85,Inputs!$D$9:$D$89),5)+$C$16*INDEX(CHOOSE(MATCH(Inputs!$C$4,{"CIE 1931 2deg","CIE 1964 10deg","CIE 2015 2deg","Pasted below"},0),Tables!$D$5:$D$85,Tables!$G$5:$G$85,Tables!$J$5:$J$85,Inputs!$E$9:$E$89),5)</f>
        <v/>
      </c>
    </row>
    <row r="10">
      <c r="A10" s="4">
        <f>Destination!$B$60</f>
        <v/>
      </c>
      <c r="B10" s="4">
        <f>Destination!$C$60</f>
        <v/>
      </c>
      <c r="C10" s="4">
        <f>Destination!$D$60</f>
        <v/>
      </c>
      <c r="E10" s="4">
        <f>Destination!$B$64</f>
        <v/>
      </c>
      <c r="F10" s="4">
        <f>Destination!$C$64</f>
        <v/>
      </c>
      <c r="G10" s="4">
        <f>Destination!$D$64</f>
        <v/>
      </c>
      <c r="I10" t="n">
        <v>405</v>
      </c>
      <c r="J10" s="4">
        <f>$A$14*INDEX(CHOOSE(MATCH(Inputs!$C$4,{"CIE 1931 2deg","CIE 1964 10deg","CIE 2015 2deg","Pasted below"},0),Tables!$B$5:$B$85,Tables!$E$5:$E$85,Tables!$H$5:$H$85,Inputs!$C$9:$C$89),6)+$B$14*INDEX(CHOOSE(MATCH(Inputs!$C$4,{"CIE 1931 2deg","CIE 1964 10deg","CIE 2015 2deg","Pasted below"},0),Tables!$C$5:$C$85,Tables!$F$5:$F$85,Tables!$I$5:$I$85,Inputs!$D$9:$D$89),6)+$C$14*INDEX(CHOOSE(MATCH(Inputs!$C$4,{"CIE 1931 2deg","CIE 1964 10deg","CIE 2015 2deg","Pasted below"},0),Tables!$D$5:$D$85,Tables!$G$5:$G$85,Tables!$J$5:$J$85,Inputs!$E$9:$E$89),6)</f>
        <v/>
      </c>
      <c r="K10" s="4">
        <f>$A$15*INDEX(CHOOSE(MATCH(Inputs!$C$4,{"CIE 1931 2deg","CIE 1964 10deg","CIE 2015 2deg","Pasted below"},0),Tables!$B$5:$B$85,Tables!$E$5:$E$85,Tables!$H$5:$H$85,Inputs!$C$9:$C$89),6)+$B$15*INDEX(CHOOSE(MATCH(Inputs!$C$4,{"CIE 1931 2deg","CIE 1964 10deg","CIE 2015 2deg","Pasted below"},0),Tables!$C$5:$C$85,Tables!$F$5:$F$85,Tables!$I$5:$I$85,Inputs!$D$9:$D$89),6)+$C$15*INDEX(CHOOSE(MATCH(Inputs!$C$4,{"CIE 1931 2deg","CIE 1964 10deg","CIE 2015 2deg","Pasted below"},0),Tables!$D$5:$D$85,Tables!$G$5:$G$85,Tables!$J$5:$J$85,Inputs!$E$9:$E$89),6)</f>
        <v/>
      </c>
      <c r="L10" s="4">
        <f>$A$16*INDEX(CHOOSE(MATCH(Inputs!$C$4,{"CIE 1931 2deg","CIE 1964 10deg","CIE 2015 2deg","Pasted below"},0),Tables!$B$5:$B$85,Tables!$E$5:$E$85,Tables!$H$5:$H$85,Inputs!$C$9:$C$89),6)+$B$16*INDEX(CHOOSE(MATCH(Inputs!$C$4,{"CIE 1931 2deg","CIE 1964 10deg","CIE 2015 2deg","Pasted below"},0),Tables!$C$5:$C$85,Tables!$F$5:$F$85,Tables!$I$5:$I$85,Inputs!$D$9:$D$89),6)+$C$16*INDEX(CHOOSE(MATCH(Inputs!$C$4,{"CIE 1931 2deg","CIE 1964 10deg","CIE 2015 2deg","Pasted below"},0),Tables!$D$5:$D$85,Tables!$G$5:$G$85,Tables!$J$5:$J$85,Inputs!$E$9:$E$89),6)</f>
        <v/>
      </c>
    </row>
    <row r="11">
      <c r="A11" s="4">
        <f>Destination!$B$61</f>
        <v/>
      </c>
      <c r="B11" s="4">
        <f>Destination!$C$61</f>
        <v/>
      </c>
      <c r="C11" s="4">
        <f>Destination!$D$61</f>
        <v/>
      </c>
      <c r="E11" s="4">
        <f>Destination!$B$65</f>
        <v/>
      </c>
      <c r="F11" s="4">
        <f>Destination!$C$65</f>
        <v/>
      </c>
      <c r="G11" s="4">
        <f>Destination!$D$65</f>
        <v/>
      </c>
      <c r="I11" t="n">
        <v>410</v>
      </c>
      <c r="J11" s="4">
        <f>$A$14*INDEX(CHOOSE(MATCH(Inputs!$C$4,{"CIE 1931 2deg","CIE 1964 10deg","CIE 2015 2deg","Pasted below"},0),Tables!$B$5:$B$85,Tables!$E$5:$E$85,Tables!$H$5:$H$85,Inputs!$C$9:$C$89),7)+$B$14*INDEX(CHOOSE(MATCH(Inputs!$C$4,{"CIE 1931 2deg","CIE 1964 10deg","CIE 2015 2deg","Pasted below"},0),Tables!$C$5:$C$85,Tables!$F$5:$F$85,Tables!$I$5:$I$85,Inputs!$D$9:$D$89),7)+$C$14*INDEX(CHOOSE(MATCH(Inputs!$C$4,{"CIE 1931 2deg","CIE 1964 10deg","CIE 2015 2deg","Pasted below"},0),Tables!$D$5:$D$85,Tables!$G$5:$G$85,Tables!$J$5:$J$85,Inputs!$E$9:$E$89),7)</f>
        <v/>
      </c>
      <c r="K11" s="4">
        <f>$A$15*INDEX(CHOOSE(MATCH(Inputs!$C$4,{"CIE 1931 2deg","CIE 1964 10deg","CIE 2015 2deg","Pasted below"},0),Tables!$B$5:$B$85,Tables!$E$5:$E$85,Tables!$H$5:$H$85,Inputs!$C$9:$C$89),7)+$B$15*INDEX(CHOOSE(MATCH(Inputs!$C$4,{"CIE 1931 2deg","CIE 1964 10deg","CIE 2015 2deg","Pasted below"},0),Tables!$C$5:$C$85,Tables!$F$5:$F$85,Tables!$I$5:$I$85,Inputs!$D$9:$D$89),7)+$C$15*INDEX(CHOOSE(MATCH(Inputs!$C$4,{"CIE 1931 2deg","CIE 1964 10deg","CIE 2015 2deg","Pasted below"},0),Tables!$D$5:$D$85,Tables!$G$5:$G$85,Tables!$J$5:$J$85,Inputs!$E$9:$E$89),7)</f>
        <v/>
      </c>
      <c r="L11" s="4">
        <f>$A$16*INDEX(CHOOSE(MATCH(Inputs!$C$4,{"CIE 1931 2deg","CIE 1964 10deg","CIE 2015 2deg","Pasted below"},0),Tables!$B$5:$B$85,Tables!$E$5:$E$85,Tables!$H$5:$H$85,Inputs!$C$9:$C$89),7)+$B$16*INDEX(CHOOSE(MATCH(Inputs!$C$4,{"CIE 1931 2deg","CIE 1964 10deg","CIE 2015 2deg","Pasted below"},0),Tables!$C$5:$C$85,Tables!$F$5:$F$85,Tables!$I$5:$I$85,Inputs!$D$9:$D$89),7)+$C$16*INDEX(CHOOSE(MATCH(Inputs!$C$4,{"CIE 1931 2deg","CIE 1964 10deg","CIE 2015 2deg","Pasted below"},0),Tables!$D$5:$D$85,Tables!$G$5:$G$85,Tables!$J$5:$J$85,Inputs!$E$9:$E$89),7)</f>
        <v/>
      </c>
    </row>
    <row r="12">
      <c r="I12" t="n">
        <v>415</v>
      </c>
      <c r="J12" s="4">
        <f>$A$14*INDEX(CHOOSE(MATCH(Inputs!$C$4,{"CIE 1931 2deg","CIE 1964 10deg","CIE 2015 2deg","Pasted below"},0),Tables!$B$5:$B$85,Tables!$E$5:$E$85,Tables!$H$5:$H$85,Inputs!$C$9:$C$89),8)+$B$14*INDEX(CHOOSE(MATCH(Inputs!$C$4,{"CIE 1931 2deg","CIE 1964 10deg","CIE 2015 2deg","Pasted below"},0),Tables!$C$5:$C$85,Tables!$F$5:$F$85,Tables!$I$5:$I$85,Inputs!$D$9:$D$89),8)+$C$14*INDEX(CHOOSE(MATCH(Inputs!$C$4,{"CIE 1931 2deg","CIE 1964 10deg","CIE 2015 2deg","Pasted below"},0),Tables!$D$5:$D$85,Tables!$G$5:$G$85,Tables!$J$5:$J$85,Inputs!$E$9:$E$89),8)</f>
        <v/>
      </c>
      <c r="K12" s="4">
        <f>$A$15*INDEX(CHOOSE(MATCH(Inputs!$C$4,{"CIE 1931 2deg","CIE 1964 10deg","CIE 2015 2deg","Pasted below"},0),Tables!$B$5:$B$85,Tables!$E$5:$E$85,Tables!$H$5:$H$85,Inputs!$C$9:$C$89),8)+$B$15*INDEX(CHOOSE(MATCH(Inputs!$C$4,{"CIE 1931 2deg","CIE 1964 10deg","CIE 2015 2deg","Pasted below"},0),Tables!$C$5:$C$85,Tables!$F$5:$F$85,Tables!$I$5:$I$85,Inputs!$D$9:$D$89),8)+$C$15*INDEX(CHOOSE(MATCH(Inputs!$C$4,{"CIE 1931 2deg","CIE 1964 10deg","CIE 2015 2deg","Pasted below"},0),Tables!$D$5:$D$85,Tables!$G$5:$G$85,Tables!$J$5:$J$85,Inputs!$E$9:$E$89),8)</f>
        <v/>
      </c>
      <c r="L12" s="4">
        <f>$A$16*INDEX(CHOOSE(MATCH(Inputs!$C$4,{"CIE 1931 2deg","CIE 1964 10deg","CIE 2015 2deg","Pasted below"},0),Tables!$B$5:$B$85,Tables!$E$5:$E$85,Tables!$H$5:$H$85,Inputs!$C$9:$C$89),8)+$B$16*INDEX(CHOOSE(MATCH(Inputs!$C$4,{"CIE 1931 2deg","CIE 1964 10deg","CIE 2015 2deg","Pasted below"},0),Tables!$C$5:$C$85,Tables!$F$5:$F$85,Tables!$I$5:$I$85,Inputs!$D$9:$D$89),8)+$C$16*INDEX(CHOOSE(MATCH(Inputs!$C$4,{"CIE 1931 2deg","CIE 1964 10deg","CIE 2015 2deg","Pasted below"},0),Tables!$D$5:$D$85,Tables!$G$5:$G$85,Tables!$J$5:$J$85,Inputs!$E$9:$E$89),8)</f>
        <v/>
      </c>
    </row>
    <row r="13">
      <c r="A13" s="3" t="inlineStr">
        <is>
          <t>MAT, source to destination</t>
        </is>
      </c>
      <c r="E13" s="3" t="inlineStr">
        <is>
          <t>MAT, destination to source</t>
        </is>
      </c>
      <c r="I13" t="n">
        <v>420</v>
      </c>
      <c r="J13" s="4">
        <f>$A$14*INDEX(CHOOSE(MATCH(Inputs!$C$4,{"CIE 1931 2deg","CIE 1964 10deg","CIE 2015 2deg","Pasted below"},0),Tables!$B$5:$B$85,Tables!$E$5:$E$85,Tables!$H$5:$H$85,Inputs!$C$9:$C$89),9)+$B$14*INDEX(CHOOSE(MATCH(Inputs!$C$4,{"CIE 1931 2deg","CIE 1964 10deg","CIE 2015 2deg","Pasted below"},0),Tables!$C$5:$C$85,Tables!$F$5:$F$85,Tables!$I$5:$I$85,Inputs!$D$9:$D$89),9)+$C$14*INDEX(CHOOSE(MATCH(Inputs!$C$4,{"CIE 1931 2deg","CIE 1964 10deg","CIE 2015 2deg","Pasted below"},0),Tables!$D$5:$D$85,Tables!$G$5:$G$85,Tables!$J$5:$J$85,Inputs!$E$9:$E$89),9)</f>
        <v/>
      </c>
      <c r="K13" s="4">
        <f>$A$15*INDEX(CHOOSE(MATCH(Inputs!$C$4,{"CIE 1931 2deg","CIE 1964 10deg","CIE 2015 2deg","Pasted below"},0),Tables!$B$5:$B$85,Tables!$E$5:$E$85,Tables!$H$5:$H$85,Inputs!$C$9:$C$89),9)+$B$15*INDEX(CHOOSE(MATCH(Inputs!$C$4,{"CIE 1931 2deg","CIE 1964 10deg","CIE 2015 2deg","Pasted below"},0),Tables!$C$5:$C$85,Tables!$F$5:$F$85,Tables!$I$5:$I$85,Inputs!$D$9:$D$89),9)+$C$15*INDEX(CHOOSE(MATCH(Inputs!$C$4,{"CIE 1931 2deg","CIE 1964 10deg","CIE 2015 2deg","Pasted below"},0),Tables!$D$5:$D$85,Tables!$G$5:$G$85,Tables!$J$5:$J$85,Inputs!$E$9:$E$89),9)</f>
        <v/>
      </c>
      <c r="L13" s="4">
        <f>$A$16*INDEX(CHOOSE(MATCH(Inputs!$C$4,{"CIE 1931 2deg","CIE 1964 10deg","CIE 2015 2deg","Pasted below"},0),Tables!$B$5:$B$85,Tables!$E$5:$E$85,Tables!$H$5:$H$85,Inputs!$C$9:$C$89),9)+$B$16*INDEX(CHOOSE(MATCH(Inputs!$C$4,{"CIE 1931 2deg","CIE 1964 10deg","CIE 2015 2deg","Pasted below"},0),Tables!$C$5:$C$85,Tables!$F$5:$F$85,Tables!$I$5:$I$85,Inputs!$D$9:$D$89),9)+$C$16*INDEX(CHOOSE(MATCH(Inputs!$C$4,{"CIE 1931 2deg","CIE 1964 10deg","CIE 2015 2deg","Pasted below"},0),Tables!$D$5:$D$85,Tables!$G$5:$G$85,Tables!$J$5:$J$85,Inputs!$E$9:$E$89),9)</f>
        <v/>
      </c>
    </row>
    <row r="14">
      <c r="A14" s="4">
        <f>Destination!$B$63*Source!$B$59+Destination!$C$63*Source!$B$60+Destination!$D$63*Source!$B$61</f>
        <v/>
      </c>
      <c r="B14" s="4">
        <f>Destination!$B$63*Source!$C$59+Destination!$C$63*Source!$C$60+Destination!$D$63*Source!$C$61</f>
        <v/>
      </c>
      <c r="C14" s="4">
        <f>Destination!$B$63*Source!$D$59+Destination!$C$63*Source!$D$60+Destination!$D$63*Source!$D$61</f>
        <v/>
      </c>
      <c r="E14" s="4">
        <f>Source!$B$63*Destination!$B$59+Source!$C$63*Destination!$B$60+Source!$D$63*Destination!$B$61</f>
        <v/>
      </c>
      <c r="F14" s="4">
        <f>Source!$B$63*Destination!$C$59+Source!$C$63*Destination!$C$60+Source!$D$63*Destination!$C$61</f>
        <v/>
      </c>
      <c r="G14" s="4">
        <f>Source!$B$63*Destination!$D$59+Source!$C$63*Destination!$D$60+Source!$D$63*Destination!$D$61</f>
        <v/>
      </c>
      <c r="I14" t="n">
        <v>425</v>
      </c>
      <c r="J14" s="4">
        <f>$A$14*INDEX(CHOOSE(MATCH(Inputs!$C$4,{"CIE 1931 2deg","CIE 1964 10deg","CIE 2015 2deg","Pasted below"},0),Tables!$B$5:$B$85,Tables!$E$5:$E$85,Tables!$H$5:$H$85,Inputs!$C$9:$C$89),10)+$B$14*INDEX(CHOOSE(MATCH(Inputs!$C$4,{"CIE 1931 2deg","CIE 1964 10deg","CIE 2015 2deg","Pasted below"},0),Tables!$C$5:$C$85,Tables!$F$5:$F$85,Tables!$I$5:$I$85,Inputs!$D$9:$D$89),10)+$C$14*INDEX(CHOOSE(MATCH(Inputs!$C$4,{"CIE 1931 2deg","CIE 1964 10deg","CIE 2015 2deg","Pasted below"},0),Tables!$D$5:$D$85,Tables!$G$5:$G$85,Tables!$J$5:$J$85,Inputs!$E$9:$E$89),10)</f>
        <v/>
      </c>
      <c r="K14" s="4">
        <f>$A$15*INDEX(CHOOSE(MATCH(Inputs!$C$4,{"CIE 1931 2deg","CIE 1964 10deg","CIE 2015 2deg","Pasted below"},0),Tables!$B$5:$B$85,Tables!$E$5:$E$85,Tables!$H$5:$H$85,Inputs!$C$9:$C$89),10)+$B$15*INDEX(CHOOSE(MATCH(Inputs!$C$4,{"CIE 1931 2deg","CIE 1964 10deg","CIE 2015 2deg","Pasted below"},0),Tables!$C$5:$C$85,Tables!$F$5:$F$85,Tables!$I$5:$I$85,Inputs!$D$9:$D$89),10)+$C$15*INDEX(CHOOSE(MATCH(Inputs!$C$4,{"CIE 1931 2deg","CIE 1964 10deg","CIE 2015 2deg","Pasted below"},0),Tables!$D$5:$D$85,Tables!$G$5:$G$85,Tables!$J$5:$J$85,Inputs!$E$9:$E$89),10)</f>
        <v/>
      </c>
      <c r="L14" s="4">
        <f>$A$16*INDEX(CHOOSE(MATCH(Inputs!$C$4,{"CIE 1931 2deg","CIE 1964 10deg","CIE 2015 2deg","Pasted below"},0),Tables!$B$5:$B$85,Tables!$E$5:$E$85,Tables!$H$5:$H$85,Inputs!$C$9:$C$89),10)+$B$16*INDEX(CHOOSE(MATCH(Inputs!$C$4,{"CIE 1931 2deg","CIE 1964 10deg","CIE 2015 2deg","Pasted below"},0),Tables!$C$5:$C$85,Tables!$F$5:$F$85,Tables!$I$5:$I$85,Inputs!$D$9:$D$89),10)+$C$16*INDEX(CHOOSE(MATCH(Inputs!$C$4,{"CIE 1931 2deg","CIE 1964 10deg","CIE 2015 2deg","Pasted below"},0),Tables!$D$5:$D$85,Tables!$G$5:$G$85,Tables!$J$5:$J$85,Inputs!$E$9:$E$89),10)</f>
        <v/>
      </c>
    </row>
    <row r="15">
      <c r="A15" s="4">
        <f>Destination!$B$64*Source!$B$59+Destination!$C$64*Source!$B$60+Destination!$D$64*Source!$B$61</f>
        <v/>
      </c>
      <c r="B15" s="4">
        <f>Destination!$B$64*Source!$C$59+Destination!$C$64*Source!$C$60+Destination!$D$64*Source!$C$61</f>
        <v/>
      </c>
      <c r="C15" s="4">
        <f>Destination!$B$64*Source!$D$59+Destination!$C$64*Source!$D$60+Destination!$D$64*Source!$D$61</f>
        <v/>
      </c>
      <c r="E15" s="4">
        <f>Source!$B$64*Destination!$B$59+Source!$C$64*Destination!$B$60+Source!$D$64*Destination!$B$61</f>
        <v/>
      </c>
      <c r="F15" s="4">
        <f>Source!$B$64*Destination!$C$59+Source!$C$64*Destination!$C$60+Source!$D$64*Destination!$C$61</f>
        <v/>
      </c>
      <c r="G15" s="4">
        <f>Source!$B$64*Destination!$D$59+Source!$C$64*Destination!$D$60+Source!$D$64*Destination!$D$61</f>
        <v/>
      </c>
      <c r="I15" t="n">
        <v>430</v>
      </c>
      <c r="J15" s="4">
        <f>$A$14*INDEX(CHOOSE(MATCH(Inputs!$C$4,{"CIE 1931 2deg","CIE 1964 10deg","CIE 2015 2deg","Pasted below"},0),Tables!$B$5:$B$85,Tables!$E$5:$E$85,Tables!$H$5:$H$85,Inputs!$C$9:$C$89),11)+$B$14*INDEX(CHOOSE(MATCH(Inputs!$C$4,{"CIE 1931 2deg","CIE 1964 10deg","CIE 2015 2deg","Pasted below"},0),Tables!$C$5:$C$85,Tables!$F$5:$F$85,Tables!$I$5:$I$85,Inputs!$D$9:$D$89),11)+$C$14*INDEX(CHOOSE(MATCH(Inputs!$C$4,{"CIE 1931 2deg","CIE 1964 10deg","CIE 2015 2deg","Pasted below"},0),Tables!$D$5:$D$85,Tables!$G$5:$G$85,Tables!$J$5:$J$85,Inputs!$E$9:$E$89),11)</f>
        <v/>
      </c>
      <c r="K15" s="4">
        <f>$A$15*INDEX(CHOOSE(MATCH(Inputs!$C$4,{"CIE 1931 2deg","CIE 1964 10deg","CIE 2015 2deg","Pasted below"},0),Tables!$B$5:$B$85,Tables!$E$5:$E$85,Tables!$H$5:$H$85,Inputs!$C$9:$C$89),11)+$B$15*INDEX(CHOOSE(MATCH(Inputs!$C$4,{"CIE 1931 2deg","CIE 1964 10deg","CIE 2015 2deg","Pasted below"},0),Tables!$C$5:$C$85,Tables!$F$5:$F$85,Tables!$I$5:$I$85,Inputs!$D$9:$D$89),11)+$C$15*INDEX(CHOOSE(MATCH(Inputs!$C$4,{"CIE 1931 2deg","CIE 1964 10deg","CIE 2015 2deg","Pasted below"},0),Tables!$D$5:$D$85,Tables!$G$5:$G$85,Tables!$J$5:$J$85,Inputs!$E$9:$E$89),11)</f>
        <v/>
      </c>
      <c r="L15" s="4">
        <f>$A$16*INDEX(CHOOSE(MATCH(Inputs!$C$4,{"CIE 1931 2deg","CIE 1964 10deg","CIE 2015 2deg","Pasted below"},0),Tables!$B$5:$B$85,Tables!$E$5:$E$85,Tables!$H$5:$H$85,Inputs!$C$9:$C$89),11)+$B$16*INDEX(CHOOSE(MATCH(Inputs!$C$4,{"CIE 1931 2deg","CIE 1964 10deg","CIE 2015 2deg","Pasted below"},0),Tables!$C$5:$C$85,Tables!$F$5:$F$85,Tables!$I$5:$I$85,Inputs!$D$9:$D$89),11)+$C$16*INDEX(CHOOSE(MATCH(Inputs!$C$4,{"CIE 1931 2deg","CIE 1964 10deg","CIE 2015 2deg","Pasted below"},0),Tables!$D$5:$D$85,Tables!$G$5:$G$85,Tables!$J$5:$J$85,Inputs!$E$9:$E$89),11)</f>
        <v/>
      </c>
    </row>
    <row r="16">
      <c r="A16" s="4">
        <f>Destination!$B$65*Source!$B$59+Destination!$C$65*Source!$B$60+Destination!$D$65*Source!$B$61</f>
        <v/>
      </c>
      <c r="B16" s="4">
        <f>Destination!$B$65*Source!$C$59+Destination!$C$65*Source!$C$60+Destination!$D$65*Source!$C$61</f>
        <v/>
      </c>
      <c r="C16" s="4">
        <f>Destination!$B$65*Source!$D$59+Destination!$C$65*Source!$D$60+Destination!$D$65*Source!$D$61</f>
        <v/>
      </c>
      <c r="E16" s="4">
        <f>Source!$B$65*Destination!$B$59+Source!$C$65*Destination!$B$60+Source!$D$65*Destination!$B$61</f>
        <v/>
      </c>
      <c r="F16" s="4">
        <f>Source!$B$65*Destination!$C$59+Source!$C$65*Destination!$C$60+Source!$D$65*Destination!$C$61</f>
        <v/>
      </c>
      <c r="G16" s="4">
        <f>Source!$B$65*Destination!$D$59+Source!$C$65*Destination!$D$60+Source!$D$65*Destination!$D$61</f>
        <v/>
      </c>
      <c r="I16" t="n">
        <v>435</v>
      </c>
      <c r="J16" s="4">
        <f>$A$14*INDEX(CHOOSE(MATCH(Inputs!$C$4,{"CIE 1931 2deg","CIE 1964 10deg","CIE 2015 2deg","Pasted below"},0),Tables!$B$5:$B$85,Tables!$E$5:$E$85,Tables!$H$5:$H$85,Inputs!$C$9:$C$89),12)+$B$14*INDEX(CHOOSE(MATCH(Inputs!$C$4,{"CIE 1931 2deg","CIE 1964 10deg","CIE 2015 2deg","Pasted below"},0),Tables!$C$5:$C$85,Tables!$F$5:$F$85,Tables!$I$5:$I$85,Inputs!$D$9:$D$89),12)+$C$14*INDEX(CHOOSE(MATCH(Inputs!$C$4,{"CIE 1931 2deg","CIE 1964 10deg","CIE 2015 2deg","Pasted below"},0),Tables!$D$5:$D$85,Tables!$G$5:$G$85,Tables!$J$5:$J$85,Inputs!$E$9:$E$89),12)</f>
        <v/>
      </c>
      <c r="K16" s="4">
        <f>$A$15*INDEX(CHOOSE(MATCH(Inputs!$C$4,{"CIE 1931 2deg","CIE 1964 10deg","CIE 2015 2deg","Pasted below"},0),Tables!$B$5:$B$85,Tables!$E$5:$E$85,Tables!$H$5:$H$85,Inputs!$C$9:$C$89),12)+$B$15*INDEX(CHOOSE(MATCH(Inputs!$C$4,{"CIE 1931 2deg","CIE 1964 10deg","CIE 2015 2deg","Pasted below"},0),Tables!$C$5:$C$85,Tables!$F$5:$F$85,Tables!$I$5:$I$85,Inputs!$D$9:$D$89),12)+$C$15*INDEX(CHOOSE(MATCH(Inputs!$C$4,{"CIE 1931 2deg","CIE 1964 10deg","CIE 2015 2deg","Pasted below"},0),Tables!$D$5:$D$85,Tables!$G$5:$G$85,Tables!$J$5:$J$85,Inputs!$E$9:$E$89),12)</f>
        <v/>
      </c>
      <c r="L16" s="4">
        <f>$A$16*INDEX(CHOOSE(MATCH(Inputs!$C$4,{"CIE 1931 2deg","CIE 1964 10deg","CIE 2015 2deg","Pasted below"},0),Tables!$B$5:$B$85,Tables!$E$5:$E$85,Tables!$H$5:$H$85,Inputs!$C$9:$C$89),12)+$B$16*INDEX(CHOOSE(MATCH(Inputs!$C$4,{"CIE 1931 2deg","CIE 1964 10deg","CIE 2015 2deg","Pasted below"},0),Tables!$C$5:$C$85,Tables!$F$5:$F$85,Tables!$I$5:$I$85,Inputs!$D$9:$D$89),12)+$C$16*INDEX(CHOOSE(MATCH(Inputs!$C$4,{"CIE 1931 2deg","CIE 1964 10deg","CIE 2015 2deg","Pasted below"},0),Tables!$D$5:$D$85,Tables!$G$5:$G$85,Tables!$J$5:$J$85,Inputs!$E$9:$E$89),12)</f>
        <v/>
      </c>
    </row>
    <row r="17">
      <c r="I17" t="n">
        <v>440</v>
      </c>
      <c r="J17" s="4">
        <f>$A$14*INDEX(CHOOSE(MATCH(Inputs!$C$4,{"CIE 1931 2deg","CIE 1964 10deg","CIE 2015 2deg","Pasted below"},0),Tables!$B$5:$B$85,Tables!$E$5:$E$85,Tables!$H$5:$H$85,Inputs!$C$9:$C$89),13)+$B$14*INDEX(CHOOSE(MATCH(Inputs!$C$4,{"CIE 1931 2deg","CIE 1964 10deg","CIE 2015 2deg","Pasted below"},0),Tables!$C$5:$C$85,Tables!$F$5:$F$85,Tables!$I$5:$I$85,Inputs!$D$9:$D$89),13)+$C$14*INDEX(CHOOSE(MATCH(Inputs!$C$4,{"CIE 1931 2deg","CIE 1964 10deg","CIE 2015 2deg","Pasted below"},0),Tables!$D$5:$D$85,Tables!$G$5:$G$85,Tables!$J$5:$J$85,Inputs!$E$9:$E$89),13)</f>
        <v/>
      </c>
      <c r="K17" s="4">
        <f>$A$15*INDEX(CHOOSE(MATCH(Inputs!$C$4,{"CIE 1931 2deg","CIE 1964 10deg","CIE 2015 2deg","Pasted below"},0),Tables!$B$5:$B$85,Tables!$E$5:$E$85,Tables!$H$5:$H$85,Inputs!$C$9:$C$89),13)+$B$15*INDEX(CHOOSE(MATCH(Inputs!$C$4,{"CIE 1931 2deg","CIE 1964 10deg","CIE 2015 2deg","Pasted below"},0),Tables!$C$5:$C$85,Tables!$F$5:$F$85,Tables!$I$5:$I$85,Inputs!$D$9:$D$89),13)+$C$15*INDEX(CHOOSE(MATCH(Inputs!$C$4,{"CIE 1931 2deg","CIE 1964 10deg","CIE 2015 2deg","Pasted below"},0),Tables!$D$5:$D$85,Tables!$G$5:$G$85,Tables!$J$5:$J$85,Inputs!$E$9:$E$89),13)</f>
        <v/>
      </c>
      <c r="L17" s="4">
        <f>$A$16*INDEX(CHOOSE(MATCH(Inputs!$C$4,{"CIE 1931 2deg","CIE 1964 10deg","CIE 2015 2deg","Pasted below"},0),Tables!$B$5:$B$85,Tables!$E$5:$E$85,Tables!$H$5:$H$85,Inputs!$C$9:$C$89),13)+$B$16*INDEX(CHOOSE(MATCH(Inputs!$C$4,{"CIE 1931 2deg","CIE 1964 10deg","CIE 2015 2deg","Pasted below"},0),Tables!$C$5:$C$85,Tables!$F$5:$F$85,Tables!$I$5:$I$85,Inputs!$D$9:$D$89),13)+$C$16*INDEX(CHOOSE(MATCH(Inputs!$C$4,{"CIE 1931 2deg","CIE 1964 10deg","CIE 2015 2deg","Pasted below"},0),Tables!$D$5:$D$85,Tables!$G$5:$G$85,Tables!$J$5:$J$85,Inputs!$E$9:$E$89),13)</f>
        <v/>
      </c>
    </row>
    <row r="18">
      <c r="A18" s="3" t="inlineStr">
        <is>
          <t>XYZ converter: source XYZ in, destination XYZ out</t>
        </is>
      </c>
      <c r="I18" t="n">
        <v>445</v>
      </c>
      <c r="J18" s="4">
        <f>$A$14*INDEX(CHOOSE(MATCH(Inputs!$C$4,{"CIE 1931 2deg","CIE 1964 10deg","CIE 2015 2deg","Pasted below"},0),Tables!$B$5:$B$85,Tables!$E$5:$E$85,Tables!$H$5:$H$85,Inputs!$C$9:$C$89),14)+$B$14*INDEX(CHOOSE(MATCH(Inputs!$C$4,{"CIE 1931 2deg","CIE 1964 10deg","CIE 2015 2deg","Pasted below"},0),Tables!$C$5:$C$85,Tables!$F$5:$F$85,Tables!$I$5:$I$85,Inputs!$D$9:$D$89),14)+$C$14*INDEX(CHOOSE(MATCH(Inputs!$C$4,{"CIE 1931 2deg","CIE 1964 10deg","CIE 2015 2deg","Pasted below"},0),Tables!$D$5:$D$85,Tables!$G$5:$G$85,Tables!$J$5:$J$85,Inputs!$E$9:$E$89),14)</f>
        <v/>
      </c>
      <c r="K18" s="4">
        <f>$A$15*INDEX(CHOOSE(MATCH(Inputs!$C$4,{"CIE 1931 2deg","CIE 1964 10deg","CIE 2015 2deg","Pasted below"},0),Tables!$B$5:$B$85,Tables!$E$5:$E$85,Tables!$H$5:$H$85,Inputs!$C$9:$C$89),14)+$B$15*INDEX(CHOOSE(MATCH(Inputs!$C$4,{"CIE 1931 2deg","CIE 1964 10deg","CIE 2015 2deg","Pasted below"},0),Tables!$C$5:$C$85,Tables!$F$5:$F$85,Tables!$I$5:$I$85,Inputs!$D$9:$D$89),14)+$C$15*INDEX(CHOOSE(MATCH(Inputs!$C$4,{"CIE 1931 2deg","CIE 1964 10deg","CIE 2015 2deg","Pasted below"},0),Tables!$D$5:$D$85,Tables!$G$5:$G$85,Tables!$J$5:$J$85,Inputs!$E$9:$E$89),14)</f>
        <v/>
      </c>
      <c r="L18" s="4">
        <f>$A$16*INDEX(CHOOSE(MATCH(Inputs!$C$4,{"CIE 1931 2deg","CIE 1964 10deg","CIE 2015 2deg","Pasted below"},0),Tables!$B$5:$B$85,Tables!$E$5:$E$85,Tables!$H$5:$H$85,Inputs!$C$9:$C$89),14)+$B$16*INDEX(CHOOSE(MATCH(Inputs!$C$4,{"CIE 1931 2deg","CIE 1964 10deg","CIE 2015 2deg","Pasted below"},0),Tables!$C$5:$C$85,Tables!$F$5:$F$85,Tables!$I$5:$I$85,Inputs!$D$9:$D$89),14)+$C$16*INDEX(CHOOSE(MATCH(Inputs!$C$4,{"CIE 1931 2deg","CIE 1964 10deg","CIE 2015 2deg","Pasted below"},0),Tables!$D$5:$D$85,Tables!$G$5:$G$85,Tables!$J$5:$J$85,Inputs!$E$9:$E$89),14)</f>
        <v/>
      </c>
    </row>
    <row r="19">
      <c r="A19" s="3" t="inlineStr">
        <is>
          <t>X</t>
        </is>
      </c>
      <c r="B19" s="3" t="inlineStr">
        <is>
          <t>Y</t>
        </is>
      </c>
      <c r="C19" s="3" t="inlineStr">
        <is>
          <t>Z</t>
        </is>
      </c>
      <c r="E19" s="3" t="inlineStr">
        <is>
          <t>X dest</t>
        </is>
      </c>
      <c r="F19" s="3" t="inlineStr">
        <is>
          <t>Y dest</t>
        </is>
      </c>
      <c r="G19" s="3" t="inlineStr">
        <is>
          <t>Z dest</t>
        </is>
      </c>
      <c r="I19" t="n">
        <v>450</v>
      </c>
      <c r="J19" s="4">
        <f>$A$14*INDEX(CHOOSE(MATCH(Inputs!$C$4,{"CIE 1931 2deg","CIE 1964 10deg","CIE 2015 2deg","Pasted below"},0),Tables!$B$5:$B$85,Tables!$E$5:$E$85,Tables!$H$5:$H$85,Inputs!$C$9:$C$89),15)+$B$14*INDEX(CHOOSE(MATCH(Inputs!$C$4,{"CIE 1931 2deg","CIE 1964 10deg","CIE 2015 2deg","Pasted below"},0),Tables!$C$5:$C$85,Tables!$F$5:$F$85,Tables!$I$5:$I$85,Inputs!$D$9:$D$89),15)+$C$14*INDEX(CHOOSE(MATCH(Inputs!$C$4,{"CIE 1931 2deg","CIE 1964 10deg","CIE 2015 2deg","Pasted below"},0),Tables!$D$5:$D$85,Tables!$G$5:$G$85,Tables!$J$5:$J$85,Inputs!$E$9:$E$89),15)</f>
        <v/>
      </c>
      <c r="K19" s="4">
        <f>$A$15*INDEX(CHOOSE(MATCH(Inputs!$C$4,{"CIE 1931 2deg","CIE 1964 10deg","CIE 2015 2deg","Pasted below"},0),Tables!$B$5:$B$85,Tables!$E$5:$E$85,Tables!$H$5:$H$85,Inputs!$C$9:$C$89),15)+$B$15*INDEX(CHOOSE(MATCH(Inputs!$C$4,{"CIE 1931 2deg","CIE 1964 10deg","CIE 2015 2deg","Pasted below"},0),Tables!$C$5:$C$85,Tables!$F$5:$F$85,Tables!$I$5:$I$85,Inputs!$D$9:$D$89),15)+$C$15*INDEX(CHOOSE(MATCH(Inputs!$C$4,{"CIE 1931 2deg","CIE 1964 10deg","CIE 2015 2deg","Pasted below"},0),Tables!$D$5:$D$85,Tables!$G$5:$G$85,Tables!$J$5:$J$85,Inputs!$E$9:$E$89),15)</f>
        <v/>
      </c>
      <c r="L19" s="4">
        <f>$A$16*INDEX(CHOOSE(MATCH(Inputs!$C$4,{"CIE 1931 2deg","CIE 1964 10deg","CIE 2015 2deg","Pasted below"},0),Tables!$B$5:$B$85,Tables!$E$5:$E$85,Tables!$H$5:$H$85,Inputs!$C$9:$C$89),15)+$B$16*INDEX(CHOOSE(MATCH(Inputs!$C$4,{"CIE 1931 2deg","CIE 1964 10deg","CIE 2015 2deg","Pasted below"},0),Tables!$C$5:$C$85,Tables!$F$5:$F$85,Tables!$I$5:$I$85,Inputs!$D$9:$D$89),15)+$C$16*INDEX(CHOOSE(MATCH(Inputs!$C$4,{"CIE 1931 2deg","CIE 1964 10deg","CIE 2015 2deg","Pasted below"},0),Tables!$D$5:$D$85,Tables!$G$5:$G$85,Tables!$J$5:$J$85,Inputs!$E$9:$E$89),15)</f>
        <v/>
      </c>
    </row>
    <row r="20">
      <c r="A20" s="5" t="n"/>
      <c r="B20" s="5" t="n"/>
      <c r="C20" s="5" t="n"/>
      <c r="E20" s="6">
        <f>IF($A20="","",$A$14*A20+$B$14*B20+$C$14*C20)</f>
        <v/>
      </c>
      <c r="F20" s="6">
        <f>IF($A20="","",$A$15*A20+$B$15*B20+$C$15*C20)</f>
        <v/>
      </c>
      <c r="G20" s="6">
        <f>IF($A20="","",$A$16*A20+$B$16*B20+$C$16*C20)</f>
        <v/>
      </c>
      <c r="I20" t="n">
        <v>455</v>
      </c>
      <c r="J20" s="4">
        <f>$A$14*INDEX(CHOOSE(MATCH(Inputs!$C$4,{"CIE 1931 2deg","CIE 1964 10deg","CIE 2015 2deg","Pasted below"},0),Tables!$B$5:$B$85,Tables!$E$5:$E$85,Tables!$H$5:$H$85,Inputs!$C$9:$C$89),16)+$B$14*INDEX(CHOOSE(MATCH(Inputs!$C$4,{"CIE 1931 2deg","CIE 1964 10deg","CIE 2015 2deg","Pasted below"},0),Tables!$C$5:$C$85,Tables!$F$5:$F$85,Tables!$I$5:$I$85,Inputs!$D$9:$D$89),16)+$C$14*INDEX(CHOOSE(MATCH(Inputs!$C$4,{"CIE 1931 2deg","CIE 1964 10deg","CIE 2015 2deg","Pasted below"},0),Tables!$D$5:$D$85,Tables!$G$5:$G$85,Tables!$J$5:$J$85,Inputs!$E$9:$E$89),16)</f>
        <v/>
      </c>
      <c r="K20" s="4">
        <f>$A$15*INDEX(CHOOSE(MATCH(Inputs!$C$4,{"CIE 1931 2deg","CIE 1964 10deg","CIE 2015 2deg","Pasted below"},0),Tables!$B$5:$B$85,Tables!$E$5:$E$85,Tables!$H$5:$H$85,Inputs!$C$9:$C$89),16)+$B$15*INDEX(CHOOSE(MATCH(Inputs!$C$4,{"CIE 1931 2deg","CIE 1964 10deg","CIE 2015 2deg","Pasted below"},0),Tables!$C$5:$C$85,Tables!$F$5:$F$85,Tables!$I$5:$I$85,Inputs!$D$9:$D$89),16)+$C$15*INDEX(CHOOSE(MATCH(Inputs!$C$4,{"CIE 1931 2deg","CIE 1964 10deg","CIE 2015 2deg","Pasted below"},0),Tables!$D$5:$D$85,Tables!$G$5:$G$85,Tables!$J$5:$J$85,Inputs!$E$9:$E$89),16)</f>
        <v/>
      </c>
      <c r="L20" s="4">
        <f>$A$16*INDEX(CHOOSE(MATCH(Inputs!$C$4,{"CIE 1931 2deg","CIE 1964 10deg","CIE 2015 2deg","Pasted below"},0),Tables!$B$5:$B$85,Tables!$E$5:$E$85,Tables!$H$5:$H$85,Inputs!$C$9:$C$89),16)+$B$16*INDEX(CHOOSE(MATCH(Inputs!$C$4,{"CIE 1931 2deg","CIE 1964 10deg","CIE 2015 2deg","Pasted below"},0),Tables!$C$5:$C$85,Tables!$F$5:$F$85,Tables!$I$5:$I$85,Inputs!$D$9:$D$89),16)+$C$16*INDEX(CHOOSE(MATCH(Inputs!$C$4,{"CIE 1931 2deg","CIE 1964 10deg","CIE 2015 2deg","Pasted below"},0),Tables!$D$5:$D$85,Tables!$G$5:$G$85,Tables!$J$5:$J$85,Inputs!$E$9:$E$89),16)</f>
        <v/>
      </c>
    </row>
    <row r="21">
      <c r="A21" s="5" t="n"/>
      <c r="B21" s="5" t="n"/>
      <c r="C21" s="5" t="n"/>
      <c r="E21" s="6">
        <f>IF($A21="","",$A$14*A21+$B$14*B21+$C$14*C21)</f>
        <v/>
      </c>
      <c r="F21" s="6">
        <f>IF($A21="","",$A$15*A21+$B$15*B21+$C$15*C21)</f>
        <v/>
      </c>
      <c r="G21" s="6">
        <f>IF($A21="","",$A$16*A21+$B$16*B21+$C$16*C21)</f>
        <v/>
      </c>
      <c r="I21" t="n">
        <v>460</v>
      </c>
      <c r="J21" s="4">
        <f>$A$14*INDEX(CHOOSE(MATCH(Inputs!$C$4,{"CIE 1931 2deg","CIE 1964 10deg","CIE 2015 2deg","Pasted below"},0),Tables!$B$5:$B$85,Tables!$E$5:$E$85,Tables!$H$5:$H$85,Inputs!$C$9:$C$89),17)+$B$14*INDEX(CHOOSE(MATCH(Inputs!$C$4,{"CIE 1931 2deg","CIE 1964 10deg","CIE 2015 2deg","Pasted below"},0),Tables!$C$5:$C$85,Tables!$F$5:$F$85,Tables!$I$5:$I$85,Inputs!$D$9:$D$89),17)+$C$14*INDEX(CHOOSE(MATCH(Inputs!$C$4,{"CIE 1931 2deg","CIE 1964 10deg","CIE 2015 2deg","Pasted below"},0),Tables!$D$5:$D$85,Tables!$G$5:$G$85,Tables!$J$5:$J$85,Inputs!$E$9:$E$89),17)</f>
        <v/>
      </c>
      <c r="K21" s="4">
        <f>$A$15*INDEX(CHOOSE(MATCH(Inputs!$C$4,{"CIE 1931 2deg","CIE 1964 10deg","CIE 2015 2deg","Pasted below"},0),Tables!$B$5:$B$85,Tables!$E$5:$E$85,Tables!$H$5:$H$85,Inputs!$C$9:$C$89),17)+$B$15*INDEX(CHOOSE(MATCH(Inputs!$C$4,{"CIE 1931 2deg","CIE 1964 10deg","CIE 2015 2deg","Pasted below"},0),Tables!$C$5:$C$85,Tables!$F$5:$F$85,Tables!$I$5:$I$85,Inputs!$D$9:$D$89),17)+$C$15*INDEX(CHOOSE(MATCH(Inputs!$C$4,{"CIE 1931 2deg","CIE 1964 10deg","CIE 2015 2deg","Pasted below"},0),Tables!$D$5:$D$85,Tables!$G$5:$G$85,Tables!$J$5:$J$85,Inputs!$E$9:$E$89),17)</f>
        <v/>
      </c>
      <c r="L21" s="4">
        <f>$A$16*INDEX(CHOOSE(MATCH(Inputs!$C$4,{"CIE 1931 2deg","CIE 1964 10deg","CIE 2015 2deg","Pasted below"},0),Tables!$B$5:$B$85,Tables!$E$5:$E$85,Tables!$H$5:$H$85,Inputs!$C$9:$C$89),17)+$B$16*INDEX(CHOOSE(MATCH(Inputs!$C$4,{"CIE 1931 2deg","CIE 1964 10deg","CIE 2015 2deg","Pasted below"},0),Tables!$C$5:$C$85,Tables!$F$5:$F$85,Tables!$I$5:$I$85,Inputs!$D$9:$D$89),17)+$C$16*INDEX(CHOOSE(MATCH(Inputs!$C$4,{"CIE 1931 2deg","CIE 1964 10deg","CIE 2015 2deg","Pasted below"},0),Tables!$D$5:$D$85,Tables!$G$5:$G$85,Tables!$J$5:$J$85,Inputs!$E$9:$E$89),17)</f>
        <v/>
      </c>
    </row>
    <row r="22">
      <c r="A22" s="5" t="n"/>
      <c r="B22" s="5" t="n"/>
      <c r="C22" s="5" t="n"/>
      <c r="E22" s="6">
        <f>IF($A22="","",$A$14*A22+$B$14*B22+$C$14*C22)</f>
        <v/>
      </c>
      <c r="F22" s="6">
        <f>IF($A22="","",$A$15*A22+$B$15*B22+$C$15*C22)</f>
        <v/>
      </c>
      <c r="G22" s="6">
        <f>IF($A22="","",$A$16*A22+$B$16*B22+$C$16*C22)</f>
        <v/>
      </c>
      <c r="I22" t="n">
        <v>465</v>
      </c>
      <c r="J22" s="4">
        <f>$A$14*INDEX(CHOOSE(MATCH(Inputs!$C$4,{"CIE 1931 2deg","CIE 1964 10deg","CIE 2015 2deg","Pasted below"},0),Tables!$B$5:$B$85,Tables!$E$5:$E$85,Tables!$H$5:$H$85,Inputs!$C$9:$C$89),18)+$B$14*INDEX(CHOOSE(MATCH(Inputs!$C$4,{"CIE 1931 2deg","CIE 1964 10deg","CIE 2015 2deg","Pasted below"},0),Tables!$C$5:$C$85,Tables!$F$5:$F$85,Tables!$I$5:$I$85,Inputs!$D$9:$D$89),18)+$C$14*INDEX(CHOOSE(MATCH(Inputs!$C$4,{"CIE 1931 2deg","CIE 1964 10deg","CIE 2015 2deg","Pasted below"},0),Tables!$D$5:$D$85,Tables!$G$5:$G$85,Tables!$J$5:$J$85,Inputs!$E$9:$E$89),18)</f>
        <v/>
      </c>
      <c r="K22" s="4">
        <f>$A$15*INDEX(CHOOSE(MATCH(Inputs!$C$4,{"CIE 1931 2deg","CIE 1964 10deg","CIE 2015 2deg","Pasted below"},0),Tables!$B$5:$B$85,Tables!$E$5:$E$85,Tables!$H$5:$H$85,Inputs!$C$9:$C$89),18)+$B$15*INDEX(CHOOSE(MATCH(Inputs!$C$4,{"CIE 1931 2deg","CIE 1964 10deg","CIE 2015 2deg","Pasted below"},0),Tables!$C$5:$C$85,Tables!$F$5:$F$85,Tables!$I$5:$I$85,Inputs!$D$9:$D$89),18)+$C$15*INDEX(CHOOSE(MATCH(Inputs!$C$4,{"CIE 1931 2deg","CIE 1964 10deg","CIE 2015 2deg","Pasted below"},0),Tables!$D$5:$D$85,Tables!$G$5:$G$85,Tables!$J$5:$J$85,Inputs!$E$9:$E$89),18)</f>
        <v/>
      </c>
      <c r="L22" s="4">
        <f>$A$16*INDEX(CHOOSE(MATCH(Inputs!$C$4,{"CIE 1931 2deg","CIE 1964 10deg","CIE 2015 2deg","Pasted below"},0),Tables!$B$5:$B$85,Tables!$E$5:$E$85,Tables!$H$5:$H$85,Inputs!$C$9:$C$89),18)+$B$16*INDEX(CHOOSE(MATCH(Inputs!$C$4,{"CIE 1931 2deg","CIE 1964 10deg","CIE 2015 2deg","Pasted below"},0),Tables!$C$5:$C$85,Tables!$F$5:$F$85,Tables!$I$5:$I$85,Inputs!$D$9:$D$89),18)+$C$16*INDEX(CHOOSE(MATCH(Inputs!$C$4,{"CIE 1931 2deg","CIE 1964 10deg","CIE 2015 2deg","Pasted below"},0),Tables!$D$5:$D$85,Tables!$G$5:$G$85,Tables!$J$5:$J$85,Inputs!$E$9:$E$89),18)</f>
        <v/>
      </c>
    </row>
    <row r="23">
      <c r="A23" s="5" t="n"/>
      <c r="B23" s="5" t="n"/>
      <c r="C23" s="5" t="n"/>
      <c r="E23" s="6">
        <f>IF($A23="","",$A$14*A23+$B$14*B23+$C$14*C23)</f>
        <v/>
      </c>
      <c r="F23" s="6">
        <f>IF($A23="","",$A$15*A23+$B$15*B23+$C$15*C23)</f>
        <v/>
      </c>
      <c r="G23" s="6">
        <f>IF($A23="","",$A$16*A23+$B$16*B23+$C$16*C23)</f>
        <v/>
      </c>
      <c r="I23" t="n">
        <v>470</v>
      </c>
      <c r="J23" s="4">
        <f>$A$14*INDEX(CHOOSE(MATCH(Inputs!$C$4,{"CIE 1931 2deg","CIE 1964 10deg","CIE 2015 2deg","Pasted below"},0),Tables!$B$5:$B$85,Tables!$E$5:$E$85,Tables!$H$5:$H$85,Inputs!$C$9:$C$89),19)+$B$14*INDEX(CHOOSE(MATCH(Inputs!$C$4,{"CIE 1931 2deg","CIE 1964 10deg","CIE 2015 2deg","Pasted below"},0),Tables!$C$5:$C$85,Tables!$F$5:$F$85,Tables!$I$5:$I$85,Inputs!$D$9:$D$89),19)+$C$14*INDEX(CHOOSE(MATCH(Inputs!$C$4,{"CIE 1931 2deg","CIE 1964 10deg","CIE 2015 2deg","Pasted below"},0),Tables!$D$5:$D$85,Tables!$G$5:$G$85,Tables!$J$5:$J$85,Inputs!$E$9:$E$89),19)</f>
        <v/>
      </c>
      <c r="K23" s="4">
        <f>$A$15*INDEX(CHOOSE(MATCH(Inputs!$C$4,{"CIE 1931 2deg","CIE 1964 10deg","CIE 2015 2deg","Pasted below"},0),Tables!$B$5:$B$85,Tables!$E$5:$E$85,Tables!$H$5:$H$85,Inputs!$C$9:$C$89),19)+$B$15*INDEX(CHOOSE(MATCH(Inputs!$C$4,{"CIE 1931 2deg","CIE 1964 10deg","CIE 2015 2deg","Pasted below"},0),Tables!$C$5:$C$85,Tables!$F$5:$F$85,Tables!$I$5:$I$85,Inputs!$D$9:$D$89),19)+$C$15*INDEX(CHOOSE(MATCH(Inputs!$C$4,{"CIE 1931 2deg","CIE 1964 10deg","CIE 2015 2deg","Pasted below"},0),Tables!$D$5:$D$85,Tables!$G$5:$G$85,Tables!$J$5:$J$85,Inputs!$E$9:$E$89),19)</f>
        <v/>
      </c>
      <c r="L23" s="4">
        <f>$A$16*INDEX(CHOOSE(MATCH(Inputs!$C$4,{"CIE 1931 2deg","CIE 1964 10deg","CIE 2015 2deg","Pasted below"},0),Tables!$B$5:$B$85,Tables!$E$5:$E$85,Tables!$H$5:$H$85,Inputs!$C$9:$C$89),19)+$B$16*INDEX(CHOOSE(MATCH(Inputs!$C$4,{"CIE 1931 2deg","CIE 1964 10deg","CIE 2015 2deg","Pasted below"},0),Tables!$C$5:$C$85,Tables!$F$5:$F$85,Tables!$I$5:$I$85,Inputs!$D$9:$D$89),19)+$C$16*INDEX(CHOOSE(MATCH(Inputs!$C$4,{"CIE 1931 2deg","CIE 1964 10deg","CIE 2015 2deg","Pasted below"},0),Tables!$D$5:$D$85,Tables!$G$5:$G$85,Tables!$J$5:$J$85,Inputs!$E$9:$E$89),19)</f>
        <v/>
      </c>
    </row>
    <row r="24">
      <c r="A24" s="5" t="n"/>
      <c r="B24" s="5" t="n"/>
      <c r="C24" s="5" t="n"/>
      <c r="E24" s="6">
        <f>IF($A24="","",$A$14*A24+$B$14*B24+$C$14*C24)</f>
        <v/>
      </c>
      <c r="F24" s="6">
        <f>IF($A24="","",$A$15*A24+$B$15*B24+$C$15*C24)</f>
        <v/>
      </c>
      <c r="G24" s="6">
        <f>IF($A24="","",$A$16*A24+$B$16*B24+$C$16*C24)</f>
        <v/>
      </c>
      <c r="I24" t="n">
        <v>475</v>
      </c>
      <c r="J24" s="4">
        <f>$A$14*INDEX(CHOOSE(MATCH(Inputs!$C$4,{"CIE 1931 2deg","CIE 1964 10deg","CIE 2015 2deg","Pasted below"},0),Tables!$B$5:$B$85,Tables!$E$5:$E$85,Tables!$H$5:$H$85,Inputs!$C$9:$C$89),20)+$B$14*INDEX(CHOOSE(MATCH(Inputs!$C$4,{"CIE 1931 2deg","CIE 1964 10deg","CIE 2015 2deg","Pasted below"},0),Tables!$C$5:$C$85,Tables!$F$5:$F$85,Tables!$I$5:$I$85,Inputs!$D$9:$D$89),20)+$C$14*INDEX(CHOOSE(MATCH(Inputs!$C$4,{"CIE 1931 2deg","CIE 1964 10deg","CIE 2015 2deg","Pasted below"},0),Tables!$D$5:$D$85,Tables!$G$5:$G$85,Tables!$J$5:$J$85,Inputs!$E$9:$E$89),20)</f>
        <v/>
      </c>
      <c r="K24" s="4">
        <f>$A$15*INDEX(CHOOSE(MATCH(Inputs!$C$4,{"CIE 1931 2deg","CIE 1964 10deg","CIE 2015 2deg","Pasted below"},0),Tables!$B$5:$B$85,Tables!$E$5:$E$85,Tables!$H$5:$H$85,Inputs!$C$9:$C$89),20)+$B$15*INDEX(CHOOSE(MATCH(Inputs!$C$4,{"CIE 1931 2deg","CIE 1964 10deg","CIE 2015 2deg","Pasted below"},0),Tables!$C$5:$C$85,Tables!$F$5:$F$85,Tables!$I$5:$I$85,Inputs!$D$9:$D$89),20)+$C$15*INDEX(CHOOSE(MATCH(Inputs!$C$4,{"CIE 1931 2deg","CIE 1964 10deg","CIE 2015 2deg","Pasted below"},0),Tables!$D$5:$D$85,Tables!$G$5:$G$85,Tables!$J$5:$J$85,Inputs!$E$9:$E$89),20)</f>
        <v/>
      </c>
      <c r="L24" s="4">
        <f>$A$16*INDEX(CHOOSE(MATCH(Inputs!$C$4,{"CIE 1931 2deg","CIE 1964 10deg","CIE 2015 2deg","Pasted below"},0),Tables!$B$5:$B$85,Tables!$E$5:$E$85,Tables!$H$5:$H$85,Inputs!$C$9:$C$89),20)+$B$16*INDEX(CHOOSE(MATCH(Inputs!$C$4,{"CIE 1931 2deg","CIE 1964 10deg","CIE 2015 2deg","Pasted below"},0),Tables!$C$5:$C$85,Tables!$F$5:$F$85,Tables!$I$5:$I$85,Inputs!$D$9:$D$89),20)+$C$16*INDEX(CHOOSE(MATCH(Inputs!$C$4,{"CIE 1931 2deg","CIE 1964 10deg","CIE 2015 2deg","Pasted below"},0),Tables!$D$5:$D$85,Tables!$G$5:$G$85,Tables!$J$5:$J$85,Inputs!$E$9:$E$89),20)</f>
        <v/>
      </c>
    </row>
    <row r="25">
      <c r="A25" s="5" t="n"/>
      <c r="B25" s="5" t="n"/>
      <c r="C25" s="5" t="n"/>
      <c r="E25" s="6">
        <f>IF($A25="","",$A$14*A25+$B$14*B25+$C$14*C25)</f>
        <v/>
      </c>
      <c r="F25" s="6">
        <f>IF($A25="","",$A$15*A25+$B$15*B25+$C$15*C25)</f>
        <v/>
      </c>
      <c r="G25" s="6">
        <f>IF($A25="","",$A$16*A25+$B$16*B25+$C$16*C25)</f>
        <v/>
      </c>
      <c r="I25" t="n">
        <v>480</v>
      </c>
      <c r="J25" s="4">
        <f>$A$14*INDEX(CHOOSE(MATCH(Inputs!$C$4,{"CIE 1931 2deg","CIE 1964 10deg","CIE 2015 2deg","Pasted below"},0),Tables!$B$5:$B$85,Tables!$E$5:$E$85,Tables!$H$5:$H$85,Inputs!$C$9:$C$89),21)+$B$14*INDEX(CHOOSE(MATCH(Inputs!$C$4,{"CIE 1931 2deg","CIE 1964 10deg","CIE 2015 2deg","Pasted below"},0),Tables!$C$5:$C$85,Tables!$F$5:$F$85,Tables!$I$5:$I$85,Inputs!$D$9:$D$89),21)+$C$14*INDEX(CHOOSE(MATCH(Inputs!$C$4,{"CIE 1931 2deg","CIE 1964 10deg","CIE 2015 2deg","Pasted below"},0),Tables!$D$5:$D$85,Tables!$G$5:$G$85,Tables!$J$5:$J$85,Inputs!$E$9:$E$89),21)</f>
        <v/>
      </c>
      <c r="K25" s="4">
        <f>$A$15*INDEX(CHOOSE(MATCH(Inputs!$C$4,{"CIE 1931 2deg","CIE 1964 10deg","CIE 2015 2deg","Pasted below"},0),Tables!$B$5:$B$85,Tables!$E$5:$E$85,Tables!$H$5:$H$85,Inputs!$C$9:$C$89),21)+$B$15*INDEX(CHOOSE(MATCH(Inputs!$C$4,{"CIE 1931 2deg","CIE 1964 10deg","CIE 2015 2deg","Pasted below"},0),Tables!$C$5:$C$85,Tables!$F$5:$F$85,Tables!$I$5:$I$85,Inputs!$D$9:$D$89),21)+$C$15*INDEX(CHOOSE(MATCH(Inputs!$C$4,{"CIE 1931 2deg","CIE 1964 10deg","CIE 2015 2deg","Pasted below"},0),Tables!$D$5:$D$85,Tables!$G$5:$G$85,Tables!$J$5:$J$85,Inputs!$E$9:$E$89),21)</f>
        <v/>
      </c>
      <c r="L25" s="4">
        <f>$A$16*INDEX(CHOOSE(MATCH(Inputs!$C$4,{"CIE 1931 2deg","CIE 1964 10deg","CIE 2015 2deg","Pasted below"},0),Tables!$B$5:$B$85,Tables!$E$5:$E$85,Tables!$H$5:$H$85,Inputs!$C$9:$C$89),21)+$B$16*INDEX(CHOOSE(MATCH(Inputs!$C$4,{"CIE 1931 2deg","CIE 1964 10deg","CIE 2015 2deg","Pasted below"},0),Tables!$C$5:$C$85,Tables!$F$5:$F$85,Tables!$I$5:$I$85,Inputs!$D$9:$D$89),21)+$C$16*INDEX(CHOOSE(MATCH(Inputs!$C$4,{"CIE 1931 2deg","CIE 1964 10deg","CIE 2015 2deg","Pasted below"},0),Tables!$D$5:$D$85,Tables!$G$5:$G$85,Tables!$J$5:$J$85,Inputs!$E$9:$E$89),21)</f>
        <v/>
      </c>
    </row>
    <row r="26">
      <c r="A26" s="5" t="n"/>
      <c r="B26" s="5" t="n"/>
      <c r="C26" s="5" t="n"/>
      <c r="E26" s="6">
        <f>IF($A26="","",$A$14*A26+$B$14*B26+$C$14*C26)</f>
        <v/>
      </c>
      <c r="F26" s="6">
        <f>IF($A26="","",$A$15*A26+$B$15*B26+$C$15*C26)</f>
        <v/>
      </c>
      <c r="G26" s="6">
        <f>IF($A26="","",$A$16*A26+$B$16*B26+$C$16*C26)</f>
        <v/>
      </c>
      <c r="I26" t="n">
        <v>485</v>
      </c>
      <c r="J26" s="4">
        <f>$A$14*INDEX(CHOOSE(MATCH(Inputs!$C$4,{"CIE 1931 2deg","CIE 1964 10deg","CIE 2015 2deg","Pasted below"},0),Tables!$B$5:$B$85,Tables!$E$5:$E$85,Tables!$H$5:$H$85,Inputs!$C$9:$C$89),22)+$B$14*INDEX(CHOOSE(MATCH(Inputs!$C$4,{"CIE 1931 2deg","CIE 1964 10deg","CIE 2015 2deg","Pasted below"},0),Tables!$C$5:$C$85,Tables!$F$5:$F$85,Tables!$I$5:$I$85,Inputs!$D$9:$D$89),22)+$C$14*INDEX(CHOOSE(MATCH(Inputs!$C$4,{"CIE 1931 2deg","CIE 1964 10deg","CIE 2015 2deg","Pasted below"},0),Tables!$D$5:$D$85,Tables!$G$5:$G$85,Tables!$J$5:$J$85,Inputs!$E$9:$E$89),22)</f>
        <v/>
      </c>
      <c r="K26" s="4">
        <f>$A$15*INDEX(CHOOSE(MATCH(Inputs!$C$4,{"CIE 1931 2deg","CIE 1964 10deg","CIE 2015 2deg","Pasted below"},0),Tables!$B$5:$B$85,Tables!$E$5:$E$85,Tables!$H$5:$H$85,Inputs!$C$9:$C$89),22)+$B$15*INDEX(CHOOSE(MATCH(Inputs!$C$4,{"CIE 1931 2deg","CIE 1964 10deg","CIE 2015 2deg","Pasted below"},0),Tables!$C$5:$C$85,Tables!$F$5:$F$85,Tables!$I$5:$I$85,Inputs!$D$9:$D$89),22)+$C$15*INDEX(CHOOSE(MATCH(Inputs!$C$4,{"CIE 1931 2deg","CIE 1964 10deg","CIE 2015 2deg","Pasted below"},0),Tables!$D$5:$D$85,Tables!$G$5:$G$85,Tables!$J$5:$J$85,Inputs!$E$9:$E$89),22)</f>
        <v/>
      </c>
      <c r="L26" s="4">
        <f>$A$16*INDEX(CHOOSE(MATCH(Inputs!$C$4,{"CIE 1931 2deg","CIE 1964 10deg","CIE 2015 2deg","Pasted below"},0),Tables!$B$5:$B$85,Tables!$E$5:$E$85,Tables!$H$5:$H$85,Inputs!$C$9:$C$89),22)+$B$16*INDEX(CHOOSE(MATCH(Inputs!$C$4,{"CIE 1931 2deg","CIE 1964 10deg","CIE 2015 2deg","Pasted below"},0),Tables!$C$5:$C$85,Tables!$F$5:$F$85,Tables!$I$5:$I$85,Inputs!$D$9:$D$89),22)+$C$16*INDEX(CHOOSE(MATCH(Inputs!$C$4,{"CIE 1931 2deg","CIE 1964 10deg","CIE 2015 2deg","Pasted below"},0),Tables!$D$5:$D$85,Tables!$G$5:$G$85,Tables!$J$5:$J$85,Inputs!$E$9:$E$89),22)</f>
        <v/>
      </c>
    </row>
    <row r="27">
      <c r="A27" s="5" t="n"/>
      <c r="B27" s="5" t="n"/>
      <c r="C27" s="5" t="n"/>
      <c r="E27" s="6">
        <f>IF($A27="","",$A$14*A27+$B$14*B27+$C$14*C27)</f>
        <v/>
      </c>
      <c r="F27" s="6">
        <f>IF($A27="","",$A$15*A27+$B$15*B27+$C$15*C27)</f>
        <v/>
      </c>
      <c r="G27" s="6">
        <f>IF($A27="","",$A$16*A27+$B$16*B27+$C$16*C27)</f>
        <v/>
      </c>
      <c r="I27" t="n">
        <v>490</v>
      </c>
      <c r="J27" s="4">
        <f>$A$14*INDEX(CHOOSE(MATCH(Inputs!$C$4,{"CIE 1931 2deg","CIE 1964 10deg","CIE 2015 2deg","Pasted below"},0),Tables!$B$5:$B$85,Tables!$E$5:$E$85,Tables!$H$5:$H$85,Inputs!$C$9:$C$89),23)+$B$14*INDEX(CHOOSE(MATCH(Inputs!$C$4,{"CIE 1931 2deg","CIE 1964 10deg","CIE 2015 2deg","Pasted below"},0),Tables!$C$5:$C$85,Tables!$F$5:$F$85,Tables!$I$5:$I$85,Inputs!$D$9:$D$89),23)+$C$14*INDEX(CHOOSE(MATCH(Inputs!$C$4,{"CIE 1931 2deg","CIE 1964 10deg","CIE 2015 2deg","Pasted below"},0),Tables!$D$5:$D$85,Tables!$G$5:$G$85,Tables!$J$5:$J$85,Inputs!$E$9:$E$89),23)</f>
        <v/>
      </c>
      <c r="K27" s="4">
        <f>$A$15*INDEX(CHOOSE(MATCH(Inputs!$C$4,{"CIE 1931 2deg","CIE 1964 10deg","CIE 2015 2deg","Pasted below"},0),Tables!$B$5:$B$85,Tables!$E$5:$E$85,Tables!$H$5:$H$85,Inputs!$C$9:$C$89),23)+$B$15*INDEX(CHOOSE(MATCH(Inputs!$C$4,{"CIE 1931 2deg","CIE 1964 10deg","CIE 2015 2deg","Pasted below"},0),Tables!$C$5:$C$85,Tables!$F$5:$F$85,Tables!$I$5:$I$85,Inputs!$D$9:$D$89),23)+$C$15*INDEX(CHOOSE(MATCH(Inputs!$C$4,{"CIE 1931 2deg","CIE 1964 10deg","CIE 2015 2deg","Pasted below"},0),Tables!$D$5:$D$85,Tables!$G$5:$G$85,Tables!$J$5:$J$85,Inputs!$E$9:$E$89),23)</f>
        <v/>
      </c>
      <c r="L27" s="4">
        <f>$A$16*INDEX(CHOOSE(MATCH(Inputs!$C$4,{"CIE 1931 2deg","CIE 1964 10deg","CIE 2015 2deg","Pasted below"},0),Tables!$B$5:$B$85,Tables!$E$5:$E$85,Tables!$H$5:$H$85,Inputs!$C$9:$C$89),23)+$B$16*INDEX(CHOOSE(MATCH(Inputs!$C$4,{"CIE 1931 2deg","CIE 1964 10deg","CIE 2015 2deg","Pasted below"},0),Tables!$C$5:$C$85,Tables!$F$5:$F$85,Tables!$I$5:$I$85,Inputs!$D$9:$D$89),23)+$C$16*INDEX(CHOOSE(MATCH(Inputs!$C$4,{"CIE 1931 2deg","CIE 1964 10deg","CIE 2015 2deg","Pasted below"},0),Tables!$D$5:$D$85,Tables!$G$5:$G$85,Tables!$J$5:$J$85,Inputs!$E$9:$E$89),23)</f>
        <v/>
      </c>
    </row>
    <row r="28">
      <c r="A28" s="5" t="n"/>
      <c r="B28" s="5" t="n"/>
      <c r="C28" s="5" t="n"/>
      <c r="E28" s="6">
        <f>IF($A28="","",$A$14*A28+$B$14*B28+$C$14*C28)</f>
        <v/>
      </c>
      <c r="F28" s="6">
        <f>IF($A28="","",$A$15*A28+$B$15*B28+$C$15*C28)</f>
        <v/>
      </c>
      <c r="G28" s="6">
        <f>IF($A28="","",$A$16*A28+$B$16*B28+$C$16*C28)</f>
        <v/>
      </c>
      <c r="I28" t="n">
        <v>495</v>
      </c>
      <c r="J28" s="4">
        <f>$A$14*INDEX(CHOOSE(MATCH(Inputs!$C$4,{"CIE 1931 2deg","CIE 1964 10deg","CIE 2015 2deg","Pasted below"},0),Tables!$B$5:$B$85,Tables!$E$5:$E$85,Tables!$H$5:$H$85,Inputs!$C$9:$C$89),24)+$B$14*INDEX(CHOOSE(MATCH(Inputs!$C$4,{"CIE 1931 2deg","CIE 1964 10deg","CIE 2015 2deg","Pasted below"},0),Tables!$C$5:$C$85,Tables!$F$5:$F$85,Tables!$I$5:$I$85,Inputs!$D$9:$D$89),24)+$C$14*INDEX(CHOOSE(MATCH(Inputs!$C$4,{"CIE 1931 2deg","CIE 1964 10deg","CIE 2015 2deg","Pasted below"},0),Tables!$D$5:$D$85,Tables!$G$5:$G$85,Tables!$J$5:$J$85,Inputs!$E$9:$E$89),24)</f>
        <v/>
      </c>
      <c r="K28" s="4">
        <f>$A$15*INDEX(CHOOSE(MATCH(Inputs!$C$4,{"CIE 1931 2deg","CIE 1964 10deg","CIE 2015 2deg","Pasted below"},0),Tables!$B$5:$B$85,Tables!$E$5:$E$85,Tables!$H$5:$H$85,Inputs!$C$9:$C$89),24)+$B$15*INDEX(CHOOSE(MATCH(Inputs!$C$4,{"CIE 1931 2deg","CIE 1964 10deg","CIE 2015 2deg","Pasted below"},0),Tables!$C$5:$C$85,Tables!$F$5:$F$85,Tables!$I$5:$I$85,Inputs!$D$9:$D$89),24)+$C$15*INDEX(CHOOSE(MATCH(Inputs!$C$4,{"CIE 1931 2deg","CIE 1964 10deg","CIE 2015 2deg","Pasted below"},0),Tables!$D$5:$D$85,Tables!$G$5:$G$85,Tables!$J$5:$J$85,Inputs!$E$9:$E$89),24)</f>
        <v/>
      </c>
      <c r="L28" s="4">
        <f>$A$16*INDEX(CHOOSE(MATCH(Inputs!$C$4,{"CIE 1931 2deg","CIE 1964 10deg","CIE 2015 2deg","Pasted below"},0),Tables!$B$5:$B$85,Tables!$E$5:$E$85,Tables!$H$5:$H$85,Inputs!$C$9:$C$89),24)+$B$16*INDEX(CHOOSE(MATCH(Inputs!$C$4,{"CIE 1931 2deg","CIE 1964 10deg","CIE 2015 2deg","Pasted below"},0),Tables!$C$5:$C$85,Tables!$F$5:$F$85,Tables!$I$5:$I$85,Inputs!$D$9:$D$89),24)+$C$16*INDEX(CHOOSE(MATCH(Inputs!$C$4,{"CIE 1931 2deg","CIE 1964 10deg","CIE 2015 2deg","Pasted below"},0),Tables!$D$5:$D$85,Tables!$G$5:$G$85,Tables!$J$5:$J$85,Inputs!$E$9:$E$89),24)</f>
        <v/>
      </c>
    </row>
    <row r="29">
      <c r="A29" s="5" t="n"/>
      <c r="B29" s="5" t="n"/>
      <c r="C29" s="5" t="n"/>
      <c r="E29" s="6">
        <f>IF($A29="","",$A$14*A29+$B$14*B29+$C$14*C29)</f>
        <v/>
      </c>
      <c r="F29" s="6">
        <f>IF($A29="","",$A$15*A29+$B$15*B29+$C$15*C29)</f>
        <v/>
      </c>
      <c r="G29" s="6">
        <f>IF($A29="","",$A$16*A29+$B$16*B29+$C$16*C29)</f>
        <v/>
      </c>
      <c r="I29" t="n">
        <v>500</v>
      </c>
      <c r="J29" s="4">
        <f>$A$14*INDEX(CHOOSE(MATCH(Inputs!$C$4,{"CIE 1931 2deg","CIE 1964 10deg","CIE 2015 2deg","Pasted below"},0),Tables!$B$5:$B$85,Tables!$E$5:$E$85,Tables!$H$5:$H$85,Inputs!$C$9:$C$89),25)+$B$14*INDEX(CHOOSE(MATCH(Inputs!$C$4,{"CIE 1931 2deg","CIE 1964 10deg","CIE 2015 2deg","Pasted below"},0),Tables!$C$5:$C$85,Tables!$F$5:$F$85,Tables!$I$5:$I$85,Inputs!$D$9:$D$89),25)+$C$14*INDEX(CHOOSE(MATCH(Inputs!$C$4,{"CIE 1931 2deg","CIE 1964 10deg","CIE 2015 2deg","Pasted below"},0),Tables!$D$5:$D$85,Tables!$G$5:$G$85,Tables!$J$5:$J$85,Inputs!$E$9:$E$89),25)</f>
        <v/>
      </c>
      <c r="K29" s="4">
        <f>$A$15*INDEX(CHOOSE(MATCH(Inputs!$C$4,{"CIE 1931 2deg","CIE 1964 10deg","CIE 2015 2deg","Pasted below"},0),Tables!$B$5:$B$85,Tables!$E$5:$E$85,Tables!$H$5:$H$85,Inputs!$C$9:$C$89),25)+$B$15*INDEX(CHOOSE(MATCH(Inputs!$C$4,{"CIE 1931 2deg","CIE 1964 10deg","CIE 2015 2deg","Pasted below"},0),Tables!$C$5:$C$85,Tables!$F$5:$F$85,Tables!$I$5:$I$85,Inputs!$D$9:$D$89),25)+$C$15*INDEX(CHOOSE(MATCH(Inputs!$C$4,{"CIE 1931 2deg","CIE 1964 10deg","CIE 2015 2deg","Pasted below"},0),Tables!$D$5:$D$85,Tables!$G$5:$G$85,Tables!$J$5:$J$85,Inputs!$E$9:$E$89),25)</f>
        <v/>
      </c>
      <c r="L29" s="4">
        <f>$A$16*INDEX(CHOOSE(MATCH(Inputs!$C$4,{"CIE 1931 2deg","CIE 1964 10deg","CIE 2015 2deg","Pasted below"},0),Tables!$B$5:$B$85,Tables!$E$5:$E$85,Tables!$H$5:$H$85,Inputs!$C$9:$C$89),25)+$B$16*INDEX(CHOOSE(MATCH(Inputs!$C$4,{"CIE 1931 2deg","CIE 1964 10deg","CIE 2015 2deg","Pasted below"},0),Tables!$C$5:$C$85,Tables!$F$5:$F$85,Tables!$I$5:$I$85,Inputs!$D$9:$D$89),25)+$C$16*INDEX(CHOOSE(MATCH(Inputs!$C$4,{"CIE 1931 2deg","CIE 1964 10deg","CIE 2015 2deg","Pasted below"},0),Tables!$D$5:$D$85,Tables!$G$5:$G$85,Tables!$J$5:$J$85,Inputs!$E$9:$E$89),25)</f>
        <v/>
      </c>
    </row>
    <row r="30">
      <c r="I30" t="n">
        <v>505</v>
      </c>
      <c r="J30" s="4">
        <f>$A$14*INDEX(CHOOSE(MATCH(Inputs!$C$4,{"CIE 1931 2deg","CIE 1964 10deg","CIE 2015 2deg","Pasted below"},0),Tables!$B$5:$B$85,Tables!$E$5:$E$85,Tables!$H$5:$H$85,Inputs!$C$9:$C$89),26)+$B$14*INDEX(CHOOSE(MATCH(Inputs!$C$4,{"CIE 1931 2deg","CIE 1964 10deg","CIE 2015 2deg","Pasted below"},0),Tables!$C$5:$C$85,Tables!$F$5:$F$85,Tables!$I$5:$I$85,Inputs!$D$9:$D$89),26)+$C$14*INDEX(CHOOSE(MATCH(Inputs!$C$4,{"CIE 1931 2deg","CIE 1964 10deg","CIE 2015 2deg","Pasted below"},0),Tables!$D$5:$D$85,Tables!$G$5:$G$85,Tables!$J$5:$J$85,Inputs!$E$9:$E$89),26)</f>
        <v/>
      </c>
      <c r="K30" s="4">
        <f>$A$15*INDEX(CHOOSE(MATCH(Inputs!$C$4,{"CIE 1931 2deg","CIE 1964 10deg","CIE 2015 2deg","Pasted below"},0),Tables!$B$5:$B$85,Tables!$E$5:$E$85,Tables!$H$5:$H$85,Inputs!$C$9:$C$89),26)+$B$15*INDEX(CHOOSE(MATCH(Inputs!$C$4,{"CIE 1931 2deg","CIE 1964 10deg","CIE 2015 2deg","Pasted below"},0),Tables!$C$5:$C$85,Tables!$F$5:$F$85,Tables!$I$5:$I$85,Inputs!$D$9:$D$89),26)+$C$15*INDEX(CHOOSE(MATCH(Inputs!$C$4,{"CIE 1931 2deg","CIE 1964 10deg","CIE 2015 2deg","Pasted below"},0),Tables!$D$5:$D$85,Tables!$G$5:$G$85,Tables!$J$5:$J$85,Inputs!$E$9:$E$89),26)</f>
        <v/>
      </c>
      <c r="L30" s="4">
        <f>$A$16*INDEX(CHOOSE(MATCH(Inputs!$C$4,{"CIE 1931 2deg","CIE 1964 10deg","CIE 2015 2deg","Pasted below"},0),Tables!$B$5:$B$85,Tables!$E$5:$E$85,Tables!$H$5:$H$85,Inputs!$C$9:$C$89),26)+$B$16*INDEX(CHOOSE(MATCH(Inputs!$C$4,{"CIE 1931 2deg","CIE 1964 10deg","CIE 2015 2deg","Pasted below"},0),Tables!$C$5:$C$85,Tables!$F$5:$F$85,Tables!$I$5:$I$85,Inputs!$D$9:$D$89),26)+$C$16*INDEX(CHOOSE(MATCH(Inputs!$C$4,{"CIE 1931 2deg","CIE 1964 10deg","CIE 2015 2deg","Pasted below"},0),Tables!$D$5:$D$85,Tables!$G$5:$G$85,Tables!$J$5:$J$85,Inputs!$E$9:$E$89),26)</f>
        <v/>
      </c>
    </row>
    <row r="31">
      <c r="I31" t="n">
        <v>510</v>
      </c>
      <c r="J31" s="4">
        <f>$A$14*INDEX(CHOOSE(MATCH(Inputs!$C$4,{"CIE 1931 2deg","CIE 1964 10deg","CIE 2015 2deg","Pasted below"},0),Tables!$B$5:$B$85,Tables!$E$5:$E$85,Tables!$H$5:$H$85,Inputs!$C$9:$C$89),27)+$B$14*INDEX(CHOOSE(MATCH(Inputs!$C$4,{"CIE 1931 2deg","CIE 1964 10deg","CIE 2015 2deg","Pasted below"},0),Tables!$C$5:$C$85,Tables!$F$5:$F$85,Tables!$I$5:$I$85,Inputs!$D$9:$D$89),27)+$C$14*INDEX(CHOOSE(MATCH(Inputs!$C$4,{"CIE 1931 2deg","CIE 1964 10deg","CIE 2015 2deg","Pasted below"},0),Tables!$D$5:$D$85,Tables!$G$5:$G$85,Tables!$J$5:$J$85,Inputs!$E$9:$E$89),27)</f>
        <v/>
      </c>
      <c r="K31" s="4">
        <f>$A$15*INDEX(CHOOSE(MATCH(Inputs!$C$4,{"CIE 1931 2deg","CIE 1964 10deg","CIE 2015 2deg","Pasted below"},0),Tables!$B$5:$B$85,Tables!$E$5:$E$85,Tables!$H$5:$H$85,Inputs!$C$9:$C$89),27)+$B$15*INDEX(CHOOSE(MATCH(Inputs!$C$4,{"CIE 1931 2deg","CIE 1964 10deg","CIE 2015 2deg","Pasted below"},0),Tables!$C$5:$C$85,Tables!$F$5:$F$85,Tables!$I$5:$I$85,Inputs!$D$9:$D$89),27)+$C$15*INDEX(CHOOSE(MATCH(Inputs!$C$4,{"CIE 1931 2deg","CIE 1964 10deg","CIE 2015 2deg","Pasted below"},0),Tables!$D$5:$D$85,Tables!$G$5:$G$85,Tables!$J$5:$J$85,Inputs!$E$9:$E$89),27)</f>
        <v/>
      </c>
      <c r="L31" s="4">
        <f>$A$16*INDEX(CHOOSE(MATCH(Inputs!$C$4,{"CIE 1931 2deg","CIE 1964 10deg","CIE 2015 2deg","Pasted below"},0),Tables!$B$5:$B$85,Tables!$E$5:$E$85,Tables!$H$5:$H$85,Inputs!$C$9:$C$89),27)+$B$16*INDEX(CHOOSE(MATCH(Inputs!$C$4,{"CIE 1931 2deg","CIE 1964 10deg","CIE 2015 2deg","Pasted below"},0),Tables!$C$5:$C$85,Tables!$F$5:$F$85,Tables!$I$5:$I$85,Inputs!$D$9:$D$89),27)+$C$16*INDEX(CHOOSE(MATCH(Inputs!$C$4,{"CIE 1931 2deg","CIE 1964 10deg","CIE 2015 2deg","Pasted below"},0),Tables!$D$5:$D$85,Tables!$G$5:$G$85,Tables!$J$5:$J$85,Inputs!$E$9:$E$89),27)</f>
        <v/>
      </c>
    </row>
    <row r="32">
      <c r="I32" t="n">
        <v>515</v>
      </c>
      <c r="J32" s="4">
        <f>$A$14*INDEX(CHOOSE(MATCH(Inputs!$C$4,{"CIE 1931 2deg","CIE 1964 10deg","CIE 2015 2deg","Pasted below"},0),Tables!$B$5:$B$85,Tables!$E$5:$E$85,Tables!$H$5:$H$85,Inputs!$C$9:$C$89),28)+$B$14*INDEX(CHOOSE(MATCH(Inputs!$C$4,{"CIE 1931 2deg","CIE 1964 10deg","CIE 2015 2deg","Pasted below"},0),Tables!$C$5:$C$85,Tables!$F$5:$F$85,Tables!$I$5:$I$85,Inputs!$D$9:$D$89),28)+$C$14*INDEX(CHOOSE(MATCH(Inputs!$C$4,{"CIE 1931 2deg","CIE 1964 10deg","CIE 2015 2deg","Pasted below"},0),Tables!$D$5:$D$85,Tables!$G$5:$G$85,Tables!$J$5:$J$85,Inputs!$E$9:$E$89),28)</f>
        <v/>
      </c>
      <c r="K32" s="4">
        <f>$A$15*INDEX(CHOOSE(MATCH(Inputs!$C$4,{"CIE 1931 2deg","CIE 1964 10deg","CIE 2015 2deg","Pasted below"},0),Tables!$B$5:$B$85,Tables!$E$5:$E$85,Tables!$H$5:$H$85,Inputs!$C$9:$C$89),28)+$B$15*INDEX(CHOOSE(MATCH(Inputs!$C$4,{"CIE 1931 2deg","CIE 1964 10deg","CIE 2015 2deg","Pasted below"},0),Tables!$C$5:$C$85,Tables!$F$5:$F$85,Tables!$I$5:$I$85,Inputs!$D$9:$D$89),28)+$C$15*INDEX(CHOOSE(MATCH(Inputs!$C$4,{"CIE 1931 2deg","CIE 1964 10deg","CIE 2015 2deg","Pasted below"},0),Tables!$D$5:$D$85,Tables!$G$5:$G$85,Tables!$J$5:$J$85,Inputs!$E$9:$E$89),28)</f>
        <v/>
      </c>
      <c r="L32" s="4">
        <f>$A$16*INDEX(CHOOSE(MATCH(Inputs!$C$4,{"CIE 1931 2deg","CIE 1964 10deg","CIE 2015 2deg","Pasted below"},0),Tables!$B$5:$B$85,Tables!$E$5:$E$85,Tables!$H$5:$H$85,Inputs!$C$9:$C$89),28)+$B$16*INDEX(CHOOSE(MATCH(Inputs!$C$4,{"CIE 1931 2deg","CIE 1964 10deg","CIE 2015 2deg","Pasted below"},0),Tables!$C$5:$C$85,Tables!$F$5:$F$85,Tables!$I$5:$I$85,Inputs!$D$9:$D$89),28)+$C$16*INDEX(CHOOSE(MATCH(Inputs!$C$4,{"CIE 1931 2deg","CIE 1964 10deg","CIE 2015 2deg","Pasted below"},0),Tables!$D$5:$D$85,Tables!$G$5:$G$85,Tables!$J$5:$J$85,Inputs!$E$9:$E$89),28)</f>
        <v/>
      </c>
    </row>
    <row r="33">
      <c r="I33" t="n">
        <v>520</v>
      </c>
      <c r="J33" s="4">
        <f>$A$14*INDEX(CHOOSE(MATCH(Inputs!$C$4,{"CIE 1931 2deg","CIE 1964 10deg","CIE 2015 2deg","Pasted below"},0),Tables!$B$5:$B$85,Tables!$E$5:$E$85,Tables!$H$5:$H$85,Inputs!$C$9:$C$89),29)+$B$14*INDEX(CHOOSE(MATCH(Inputs!$C$4,{"CIE 1931 2deg","CIE 1964 10deg","CIE 2015 2deg","Pasted below"},0),Tables!$C$5:$C$85,Tables!$F$5:$F$85,Tables!$I$5:$I$85,Inputs!$D$9:$D$89),29)+$C$14*INDEX(CHOOSE(MATCH(Inputs!$C$4,{"CIE 1931 2deg","CIE 1964 10deg","CIE 2015 2deg","Pasted below"},0),Tables!$D$5:$D$85,Tables!$G$5:$G$85,Tables!$J$5:$J$85,Inputs!$E$9:$E$89),29)</f>
        <v/>
      </c>
      <c r="K33" s="4">
        <f>$A$15*INDEX(CHOOSE(MATCH(Inputs!$C$4,{"CIE 1931 2deg","CIE 1964 10deg","CIE 2015 2deg","Pasted below"},0),Tables!$B$5:$B$85,Tables!$E$5:$E$85,Tables!$H$5:$H$85,Inputs!$C$9:$C$89),29)+$B$15*INDEX(CHOOSE(MATCH(Inputs!$C$4,{"CIE 1931 2deg","CIE 1964 10deg","CIE 2015 2deg","Pasted below"},0),Tables!$C$5:$C$85,Tables!$F$5:$F$85,Tables!$I$5:$I$85,Inputs!$D$9:$D$89),29)+$C$15*INDEX(CHOOSE(MATCH(Inputs!$C$4,{"CIE 1931 2deg","CIE 1964 10deg","CIE 2015 2deg","Pasted below"},0),Tables!$D$5:$D$85,Tables!$G$5:$G$85,Tables!$J$5:$J$85,Inputs!$E$9:$E$89),29)</f>
        <v/>
      </c>
      <c r="L33" s="4">
        <f>$A$16*INDEX(CHOOSE(MATCH(Inputs!$C$4,{"CIE 1931 2deg","CIE 1964 10deg","CIE 2015 2deg","Pasted below"},0),Tables!$B$5:$B$85,Tables!$E$5:$E$85,Tables!$H$5:$H$85,Inputs!$C$9:$C$89),29)+$B$16*INDEX(CHOOSE(MATCH(Inputs!$C$4,{"CIE 1931 2deg","CIE 1964 10deg","CIE 2015 2deg","Pasted below"},0),Tables!$C$5:$C$85,Tables!$F$5:$F$85,Tables!$I$5:$I$85,Inputs!$D$9:$D$89),29)+$C$16*INDEX(CHOOSE(MATCH(Inputs!$C$4,{"CIE 1931 2deg","CIE 1964 10deg","CIE 2015 2deg","Pasted below"},0),Tables!$D$5:$D$85,Tables!$G$5:$G$85,Tables!$J$5:$J$85,Inputs!$E$9:$E$89),29)</f>
        <v/>
      </c>
    </row>
    <row r="34">
      <c r="I34" t="n">
        <v>525</v>
      </c>
      <c r="J34" s="4">
        <f>$A$14*INDEX(CHOOSE(MATCH(Inputs!$C$4,{"CIE 1931 2deg","CIE 1964 10deg","CIE 2015 2deg","Pasted below"},0),Tables!$B$5:$B$85,Tables!$E$5:$E$85,Tables!$H$5:$H$85,Inputs!$C$9:$C$89),30)+$B$14*INDEX(CHOOSE(MATCH(Inputs!$C$4,{"CIE 1931 2deg","CIE 1964 10deg","CIE 2015 2deg","Pasted below"},0),Tables!$C$5:$C$85,Tables!$F$5:$F$85,Tables!$I$5:$I$85,Inputs!$D$9:$D$89),30)+$C$14*INDEX(CHOOSE(MATCH(Inputs!$C$4,{"CIE 1931 2deg","CIE 1964 10deg","CIE 2015 2deg","Pasted below"},0),Tables!$D$5:$D$85,Tables!$G$5:$G$85,Tables!$J$5:$J$85,Inputs!$E$9:$E$89),30)</f>
        <v/>
      </c>
      <c r="K34" s="4">
        <f>$A$15*INDEX(CHOOSE(MATCH(Inputs!$C$4,{"CIE 1931 2deg","CIE 1964 10deg","CIE 2015 2deg","Pasted below"},0),Tables!$B$5:$B$85,Tables!$E$5:$E$85,Tables!$H$5:$H$85,Inputs!$C$9:$C$89),30)+$B$15*INDEX(CHOOSE(MATCH(Inputs!$C$4,{"CIE 1931 2deg","CIE 1964 10deg","CIE 2015 2deg","Pasted below"},0),Tables!$C$5:$C$85,Tables!$F$5:$F$85,Tables!$I$5:$I$85,Inputs!$D$9:$D$89),30)+$C$15*INDEX(CHOOSE(MATCH(Inputs!$C$4,{"CIE 1931 2deg","CIE 1964 10deg","CIE 2015 2deg","Pasted below"},0),Tables!$D$5:$D$85,Tables!$G$5:$G$85,Tables!$J$5:$J$85,Inputs!$E$9:$E$89),30)</f>
        <v/>
      </c>
      <c r="L34" s="4">
        <f>$A$16*INDEX(CHOOSE(MATCH(Inputs!$C$4,{"CIE 1931 2deg","CIE 1964 10deg","CIE 2015 2deg","Pasted below"},0),Tables!$B$5:$B$85,Tables!$E$5:$E$85,Tables!$H$5:$H$85,Inputs!$C$9:$C$89),30)+$B$16*INDEX(CHOOSE(MATCH(Inputs!$C$4,{"CIE 1931 2deg","CIE 1964 10deg","CIE 2015 2deg","Pasted below"},0),Tables!$C$5:$C$85,Tables!$F$5:$F$85,Tables!$I$5:$I$85,Inputs!$D$9:$D$89),30)+$C$16*INDEX(CHOOSE(MATCH(Inputs!$C$4,{"CIE 1931 2deg","CIE 1964 10deg","CIE 2015 2deg","Pasted below"},0),Tables!$D$5:$D$85,Tables!$G$5:$G$85,Tables!$J$5:$J$85,Inputs!$E$9:$E$89),30)</f>
        <v/>
      </c>
    </row>
    <row r="35">
      <c r="I35" t="n">
        <v>530</v>
      </c>
      <c r="J35" s="4">
        <f>$A$14*INDEX(CHOOSE(MATCH(Inputs!$C$4,{"CIE 1931 2deg","CIE 1964 10deg","CIE 2015 2deg","Pasted below"},0),Tables!$B$5:$B$85,Tables!$E$5:$E$85,Tables!$H$5:$H$85,Inputs!$C$9:$C$89),31)+$B$14*INDEX(CHOOSE(MATCH(Inputs!$C$4,{"CIE 1931 2deg","CIE 1964 10deg","CIE 2015 2deg","Pasted below"},0),Tables!$C$5:$C$85,Tables!$F$5:$F$85,Tables!$I$5:$I$85,Inputs!$D$9:$D$89),31)+$C$14*INDEX(CHOOSE(MATCH(Inputs!$C$4,{"CIE 1931 2deg","CIE 1964 10deg","CIE 2015 2deg","Pasted below"},0),Tables!$D$5:$D$85,Tables!$G$5:$G$85,Tables!$J$5:$J$85,Inputs!$E$9:$E$89),31)</f>
        <v/>
      </c>
      <c r="K35" s="4">
        <f>$A$15*INDEX(CHOOSE(MATCH(Inputs!$C$4,{"CIE 1931 2deg","CIE 1964 10deg","CIE 2015 2deg","Pasted below"},0),Tables!$B$5:$B$85,Tables!$E$5:$E$85,Tables!$H$5:$H$85,Inputs!$C$9:$C$89),31)+$B$15*INDEX(CHOOSE(MATCH(Inputs!$C$4,{"CIE 1931 2deg","CIE 1964 10deg","CIE 2015 2deg","Pasted below"},0),Tables!$C$5:$C$85,Tables!$F$5:$F$85,Tables!$I$5:$I$85,Inputs!$D$9:$D$89),31)+$C$15*INDEX(CHOOSE(MATCH(Inputs!$C$4,{"CIE 1931 2deg","CIE 1964 10deg","CIE 2015 2deg","Pasted below"},0),Tables!$D$5:$D$85,Tables!$G$5:$G$85,Tables!$J$5:$J$85,Inputs!$E$9:$E$89),31)</f>
        <v/>
      </c>
      <c r="L35" s="4">
        <f>$A$16*INDEX(CHOOSE(MATCH(Inputs!$C$4,{"CIE 1931 2deg","CIE 1964 10deg","CIE 2015 2deg","Pasted below"},0),Tables!$B$5:$B$85,Tables!$E$5:$E$85,Tables!$H$5:$H$85,Inputs!$C$9:$C$89),31)+$B$16*INDEX(CHOOSE(MATCH(Inputs!$C$4,{"CIE 1931 2deg","CIE 1964 10deg","CIE 2015 2deg","Pasted below"},0),Tables!$C$5:$C$85,Tables!$F$5:$F$85,Tables!$I$5:$I$85,Inputs!$D$9:$D$89),31)+$C$16*INDEX(CHOOSE(MATCH(Inputs!$C$4,{"CIE 1931 2deg","CIE 1964 10deg","CIE 2015 2deg","Pasted below"},0),Tables!$D$5:$D$85,Tables!$G$5:$G$85,Tables!$J$5:$J$85,Inputs!$E$9:$E$89),31)</f>
        <v/>
      </c>
    </row>
    <row r="36">
      <c r="I36" t="n">
        <v>535</v>
      </c>
      <c r="J36" s="4">
        <f>$A$14*INDEX(CHOOSE(MATCH(Inputs!$C$4,{"CIE 1931 2deg","CIE 1964 10deg","CIE 2015 2deg","Pasted below"},0),Tables!$B$5:$B$85,Tables!$E$5:$E$85,Tables!$H$5:$H$85,Inputs!$C$9:$C$89),32)+$B$14*INDEX(CHOOSE(MATCH(Inputs!$C$4,{"CIE 1931 2deg","CIE 1964 10deg","CIE 2015 2deg","Pasted below"},0),Tables!$C$5:$C$85,Tables!$F$5:$F$85,Tables!$I$5:$I$85,Inputs!$D$9:$D$89),32)+$C$14*INDEX(CHOOSE(MATCH(Inputs!$C$4,{"CIE 1931 2deg","CIE 1964 10deg","CIE 2015 2deg","Pasted below"},0),Tables!$D$5:$D$85,Tables!$G$5:$G$85,Tables!$J$5:$J$85,Inputs!$E$9:$E$89),32)</f>
        <v/>
      </c>
      <c r="K36" s="4">
        <f>$A$15*INDEX(CHOOSE(MATCH(Inputs!$C$4,{"CIE 1931 2deg","CIE 1964 10deg","CIE 2015 2deg","Pasted below"},0),Tables!$B$5:$B$85,Tables!$E$5:$E$85,Tables!$H$5:$H$85,Inputs!$C$9:$C$89),32)+$B$15*INDEX(CHOOSE(MATCH(Inputs!$C$4,{"CIE 1931 2deg","CIE 1964 10deg","CIE 2015 2deg","Pasted below"},0),Tables!$C$5:$C$85,Tables!$F$5:$F$85,Tables!$I$5:$I$85,Inputs!$D$9:$D$89),32)+$C$15*INDEX(CHOOSE(MATCH(Inputs!$C$4,{"CIE 1931 2deg","CIE 1964 10deg","CIE 2015 2deg","Pasted below"},0),Tables!$D$5:$D$85,Tables!$G$5:$G$85,Tables!$J$5:$J$85,Inputs!$E$9:$E$89),32)</f>
        <v/>
      </c>
      <c r="L36" s="4">
        <f>$A$16*INDEX(CHOOSE(MATCH(Inputs!$C$4,{"CIE 1931 2deg","CIE 1964 10deg","CIE 2015 2deg","Pasted below"},0),Tables!$B$5:$B$85,Tables!$E$5:$E$85,Tables!$H$5:$H$85,Inputs!$C$9:$C$89),32)+$B$16*INDEX(CHOOSE(MATCH(Inputs!$C$4,{"CIE 1931 2deg","CIE 1964 10deg","CIE 2015 2deg","Pasted below"},0),Tables!$C$5:$C$85,Tables!$F$5:$F$85,Tables!$I$5:$I$85,Inputs!$D$9:$D$89),32)+$C$16*INDEX(CHOOSE(MATCH(Inputs!$C$4,{"CIE 1931 2deg","CIE 1964 10deg","CIE 2015 2deg","Pasted below"},0),Tables!$D$5:$D$85,Tables!$G$5:$G$85,Tables!$J$5:$J$85,Inputs!$E$9:$E$89),32)</f>
        <v/>
      </c>
    </row>
    <row r="37">
      <c r="I37" t="n">
        <v>540</v>
      </c>
      <c r="J37" s="4">
        <f>$A$14*INDEX(CHOOSE(MATCH(Inputs!$C$4,{"CIE 1931 2deg","CIE 1964 10deg","CIE 2015 2deg","Pasted below"},0),Tables!$B$5:$B$85,Tables!$E$5:$E$85,Tables!$H$5:$H$85,Inputs!$C$9:$C$89),33)+$B$14*INDEX(CHOOSE(MATCH(Inputs!$C$4,{"CIE 1931 2deg","CIE 1964 10deg","CIE 2015 2deg","Pasted below"},0),Tables!$C$5:$C$85,Tables!$F$5:$F$85,Tables!$I$5:$I$85,Inputs!$D$9:$D$89),33)+$C$14*INDEX(CHOOSE(MATCH(Inputs!$C$4,{"CIE 1931 2deg","CIE 1964 10deg","CIE 2015 2deg","Pasted below"},0),Tables!$D$5:$D$85,Tables!$G$5:$G$85,Tables!$J$5:$J$85,Inputs!$E$9:$E$89),33)</f>
        <v/>
      </c>
      <c r="K37" s="4">
        <f>$A$15*INDEX(CHOOSE(MATCH(Inputs!$C$4,{"CIE 1931 2deg","CIE 1964 10deg","CIE 2015 2deg","Pasted below"},0),Tables!$B$5:$B$85,Tables!$E$5:$E$85,Tables!$H$5:$H$85,Inputs!$C$9:$C$89),33)+$B$15*INDEX(CHOOSE(MATCH(Inputs!$C$4,{"CIE 1931 2deg","CIE 1964 10deg","CIE 2015 2deg","Pasted below"},0),Tables!$C$5:$C$85,Tables!$F$5:$F$85,Tables!$I$5:$I$85,Inputs!$D$9:$D$89),33)+$C$15*INDEX(CHOOSE(MATCH(Inputs!$C$4,{"CIE 1931 2deg","CIE 1964 10deg","CIE 2015 2deg","Pasted below"},0),Tables!$D$5:$D$85,Tables!$G$5:$G$85,Tables!$J$5:$J$85,Inputs!$E$9:$E$89),33)</f>
        <v/>
      </c>
      <c r="L37" s="4">
        <f>$A$16*INDEX(CHOOSE(MATCH(Inputs!$C$4,{"CIE 1931 2deg","CIE 1964 10deg","CIE 2015 2deg","Pasted below"},0),Tables!$B$5:$B$85,Tables!$E$5:$E$85,Tables!$H$5:$H$85,Inputs!$C$9:$C$89),33)+$B$16*INDEX(CHOOSE(MATCH(Inputs!$C$4,{"CIE 1931 2deg","CIE 1964 10deg","CIE 2015 2deg","Pasted below"},0),Tables!$C$5:$C$85,Tables!$F$5:$F$85,Tables!$I$5:$I$85,Inputs!$D$9:$D$89),33)+$C$16*INDEX(CHOOSE(MATCH(Inputs!$C$4,{"CIE 1931 2deg","CIE 1964 10deg","CIE 2015 2deg","Pasted below"},0),Tables!$D$5:$D$85,Tables!$G$5:$G$85,Tables!$J$5:$J$85,Inputs!$E$9:$E$89),33)</f>
        <v/>
      </c>
    </row>
    <row r="38">
      <c r="I38" t="n">
        <v>545</v>
      </c>
      <c r="J38" s="4">
        <f>$A$14*INDEX(CHOOSE(MATCH(Inputs!$C$4,{"CIE 1931 2deg","CIE 1964 10deg","CIE 2015 2deg","Pasted below"},0),Tables!$B$5:$B$85,Tables!$E$5:$E$85,Tables!$H$5:$H$85,Inputs!$C$9:$C$89),34)+$B$14*INDEX(CHOOSE(MATCH(Inputs!$C$4,{"CIE 1931 2deg","CIE 1964 10deg","CIE 2015 2deg","Pasted below"},0),Tables!$C$5:$C$85,Tables!$F$5:$F$85,Tables!$I$5:$I$85,Inputs!$D$9:$D$89),34)+$C$14*INDEX(CHOOSE(MATCH(Inputs!$C$4,{"CIE 1931 2deg","CIE 1964 10deg","CIE 2015 2deg","Pasted below"},0),Tables!$D$5:$D$85,Tables!$G$5:$G$85,Tables!$J$5:$J$85,Inputs!$E$9:$E$89),34)</f>
        <v/>
      </c>
      <c r="K38" s="4">
        <f>$A$15*INDEX(CHOOSE(MATCH(Inputs!$C$4,{"CIE 1931 2deg","CIE 1964 10deg","CIE 2015 2deg","Pasted below"},0),Tables!$B$5:$B$85,Tables!$E$5:$E$85,Tables!$H$5:$H$85,Inputs!$C$9:$C$89),34)+$B$15*INDEX(CHOOSE(MATCH(Inputs!$C$4,{"CIE 1931 2deg","CIE 1964 10deg","CIE 2015 2deg","Pasted below"},0),Tables!$C$5:$C$85,Tables!$F$5:$F$85,Tables!$I$5:$I$85,Inputs!$D$9:$D$89),34)+$C$15*INDEX(CHOOSE(MATCH(Inputs!$C$4,{"CIE 1931 2deg","CIE 1964 10deg","CIE 2015 2deg","Pasted below"},0),Tables!$D$5:$D$85,Tables!$G$5:$G$85,Tables!$J$5:$J$85,Inputs!$E$9:$E$89),34)</f>
        <v/>
      </c>
      <c r="L38" s="4">
        <f>$A$16*INDEX(CHOOSE(MATCH(Inputs!$C$4,{"CIE 1931 2deg","CIE 1964 10deg","CIE 2015 2deg","Pasted below"},0),Tables!$B$5:$B$85,Tables!$E$5:$E$85,Tables!$H$5:$H$85,Inputs!$C$9:$C$89),34)+$B$16*INDEX(CHOOSE(MATCH(Inputs!$C$4,{"CIE 1931 2deg","CIE 1964 10deg","CIE 2015 2deg","Pasted below"},0),Tables!$C$5:$C$85,Tables!$F$5:$F$85,Tables!$I$5:$I$85,Inputs!$D$9:$D$89),34)+$C$16*INDEX(CHOOSE(MATCH(Inputs!$C$4,{"CIE 1931 2deg","CIE 1964 10deg","CIE 2015 2deg","Pasted below"},0),Tables!$D$5:$D$85,Tables!$G$5:$G$85,Tables!$J$5:$J$85,Inputs!$E$9:$E$89),34)</f>
        <v/>
      </c>
    </row>
    <row r="39">
      <c r="I39" t="n">
        <v>550</v>
      </c>
      <c r="J39" s="4">
        <f>$A$14*INDEX(CHOOSE(MATCH(Inputs!$C$4,{"CIE 1931 2deg","CIE 1964 10deg","CIE 2015 2deg","Pasted below"},0),Tables!$B$5:$B$85,Tables!$E$5:$E$85,Tables!$H$5:$H$85,Inputs!$C$9:$C$89),35)+$B$14*INDEX(CHOOSE(MATCH(Inputs!$C$4,{"CIE 1931 2deg","CIE 1964 10deg","CIE 2015 2deg","Pasted below"},0),Tables!$C$5:$C$85,Tables!$F$5:$F$85,Tables!$I$5:$I$85,Inputs!$D$9:$D$89),35)+$C$14*INDEX(CHOOSE(MATCH(Inputs!$C$4,{"CIE 1931 2deg","CIE 1964 10deg","CIE 2015 2deg","Pasted below"},0),Tables!$D$5:$D$85,Tables!$G$5:$G$85,Tables!$J$5:$J$85,Inputs!$E$9:$E$89),35)</f>
        <v/>
      </c>
      <c r="K39" s="4">
        <f>$A$15*INDEX(CHOOSE(MATCH(Inputs!$C$4,{"CIE 1931 2deg","CIE 1964 10deg","CIE 2015 2deg","Pasted below"},0),Tables!$B$5:$B$85,Tables!$E$5:$E$85,Tables!$H$5:$H$85,Inputs!$C$9:$C$89),35)+$B$15*INDEX(CHOOSE(MATCH(Inputs!$C$4,{"CIE 1931 2deg","CIE 1964 10deg","CIE 2015 2deg","Pasted below"},0),Tables!$C$5:$C$85,Tables!$F$5:$F$85,Tables!$I$5:$I$85,Inputs!$D$9:$D$89),35)+$C$15*INDEX(CHOOSE(MATCH(Inputs!$C$4,{"CIE 1931 2deg","CIE 1964 10deg","CIE 2015 2deg","Pasted below"},0),Tables!$D$5:$D$85,Tables!$G$5:$G$85,Tables!$J$5:$J$85,Inputs!$E$9:$E$89),35)</f>
        <v/>
      </c>
      <c r="L39" s="4">
        <f>$A$16*INDEX(CHOOSE(MATCH(Inputs!$C$4,{"CIE 1931 2deg","CIE 1964 10deg","CIE 2015 2deg","Pasted below"},0),Tables!$B$5:$B$85,Tables!$E$5:$E$85,Tables!$H$5:$H$85,Inputs!$C$9:$C$89),35)+$B$16*INDEX(CHOOSE(MATCH(Inputs!$C$4,{"CIE 1931 2deg","CIE 1964 10deg","CIE 2015 2deg","Pasted below"},0),Tables!$C$5:$C$85,Tables!$F$5:$F$85,Tables!$I$5:$I$85,Inputs!$D$9:$D$89),35)+$C$16*INDEX(CHOOSE(MATCH(Inputs!$C$4,{"CIE 1931 2deg","CIE 1964 10deg","CIE 2015 2deg","Pasted below"},0),Tables!$D$5:$D$85,Tables!$G$5:$G$85,Tables!$J$5:$J$85,Inputs!$E$9:$E$89),35)</f>
        <v/>
      </c>
    </row>
    <row r="40">
      <c r="I40" t="n">
        <v>555</v>
      </c>
      <c r="J40" s="4">
        <f>$A$14*INDEX(CHOOSE(MATCH(Inputs!$C$4,{"CIE 1931 2deg","CIE 1964 10deg","CIE 2015 2deg","Pasted below"},0),Tables!$B$5:$B$85,Tables!$E$5:$E$85,Tables!$H$5:$H$85,Inputs!$C$9:$C$89),36)+$B$14*INDEX(CHOOSE(MATCH(Inputs!$C$4,{"CIE 1931 2deg","CIE 1964 10deg","CIE 2015 2deg","Pasted below"},0),Tables!$C$5:$C$85,Tables!$F$5:$F$85,Tables!$I$5:$I$85,Inputs!$D$9:$D$89),36)+$C$14*INDEX(CHOOSE(MATCH(Inputs!$C$4,{"CIE 1931 2deg","CIE 1964 10deg","CIE 2015 2deg","Pasted below"},0),Tables!$D$5:$D$85,Tables!$G$5:$G$85,Tables!$J$5:$J$85,Inputs!$E$9:$E$89),36)</f>
        <v/>
      </c>
      <c r="K40" s="4">
        <f>$A$15*INDEX(CHOOSE(MATCH(Inputs!$C$4,{"CIE 1931 2deg","CIE 1964 10deg","CIE 2015 2deg","Pasted below"},0),Tables!$B$5:$B$85,Tables!$E$5:$E$85,Tables!$H$5:$H$85,Inputs!$C$9:$C$89),36)+$B$15*INDEX(CHOOSE(MATCH(Inputs!$C$4,{"CIE 1931 2deg","CIE 1964 10deg","CIE 2015 2deg","Pasted below"},0),Tables!$C$5:$C$85,Tables!$F$5:$F$85,Tables!$I$5:$I$85,Inputs!$D$9:$D$89),36)+$C$15*INDEX(CHOOSE(MATCH(Inputs!$C$4,{"CIE 1931 2deg","CIE 1964 10deg","CIE 2015 2deg","Pasted below"},0),Tables!$D$5:$D$85,Tables!$G$5:$G$85,Tables!$J$5:$J$85,Inputs!$E$9:$E$89),36)</f>
        <v/>
      </c>
      <c r="L40" s="4">
        <f>$A$16*INDEX(CHOOSE(MATCH(Inputs!$C$4,{"CIE 1931 2deg","CIE 1964 10deg","CIE 2015 2deg","Pasted below"},0),Tables!$B$5:$B$85,Tables!$E$5:$E$85,Tables!$H$5:$H$85,Inputs!$C$9:$C$89),36)+$B$16*INDEX(CHOOSE(MATCH(Inputs!$C$4,{"CIE 1931 2deg","CIE 1964 10deg","CIE 2015 2deg","Pasted below"},0),Tables!$C$5:$C$85,Tables!$F$5:$F$85,Tables!$I$5:$I$85,Inputs!$D$9:$D$89),36)+$C$16*INDEX(CHOOSE(MATCH(Inputs!$C$4,{"CIE 1931 2deg","CIE 1964 10deg","CIE 2015 2deg","Pasted below"},0),Tables!$D$5:$D$85,Tables!$G$5:$G$85,Tables!$J$5:$J$85,Inputs!$E$9:$E$89),36)</f>
        <v/>
      </c>
    </row>
    <row r="41">
      <c r="I41" t="n">
        <v>560</v>
      </c>
      <c r="J41" s="4">
        <f>$A$14*INDEX(CHOOSE(MATCH(Inputs!$C$4,{"CIE 1931 2deg","CIE 1964 10deg","CIE 2015 2deg","Pasted below"},0),Tables!$B$5:$B$85,Tables!$E$5:$E$85,Tables!$H$5:$H$85,Inputs!$C$9:$C$89),37)+$B$14*INDEX(CHOOSE(MATCH(Inputs!$C$4,{"CIE 1931 2deg","CIE 1964 10deg","CIE 2015 2deg","Pasted below"},0),Tables!$C$5:$C$85,Tables!$F$5:$F$85,Tables!$I$5:$I$85,Inputs!$D$9:$D$89),37)+$C$14*INDEX(CHOOSE(MATCH(Inputs!$C$4,{"CIE 1931 2deg","CIE 1964 10deg","CIE 2015 2deg","Pasted below"},0),Tables!$D$5:$D$85,Tables!$G$5:$G$85,Tables!$J$5:$J$85,Inputs!$E$9:$E$89),37)</f>
        <v/>
      </c>
      <c r="K41" s="4">
        <f>$A$15*INDEX(CHOOSE(MATCH(Inputs!$C$4,{"CIE 1931 2deg","CIE 1964 10deg","CIE 2015 2deg","Pasted below"},0),Tables!$B$5:$B$85,Tables!$E$5:$E$85,Tables!$H$5:$H$85,Inputs!$C$9:$C$89),37)+$B$15*INDEX(CHOOSE(MATCH(Inputs!$C$4,{"CIE 1931 2deg","CIE 1964 10deg","CIE 2015 2deg","Pasted below"},0),Tables!$C$5:$C$85,Tables!$F$5:$F$85,Tables!$I$5:$I$85,Inputs!$D$9:$D$89),37)+$C$15*INDEX(CHOOSE(MATCH(Inputs!$C$4,{"CIE 1931 2deg","CIE 1964 10deg","CIE 2015 2deg","Pasted below"},0),Tables!$D$5:$D$85,Tables!$G$5:$G$85,Tables!$J$5:$J$85,Inputs!$E$9:$E$89),37)</f>
        <v/>
      </c>
      <c r="L41" s="4">
        <f>$A$16*INDEX(CHOOSE(MATCH(Inputs!$C$4,{"CIE 1931 2deg","CIE 1964 10deg","CIE 2015 2deg","Pasted below"},0),Tables!$B$5:$B$85,Tables!$E$5:$E$85,Tables!$H$5:$H$85,Inputs!$C$9:$C$89),37)+$B$16*INDEX(CHOOSE(MATCH(Inputs!$C$4,{"CIE 1931 2deg","CIE 1964 10deg","CIE 2015 2deg","Pasted below"},0),Tables!$C$5:$C$85,Tables!$F$5:$F$85,Tables!$I$5:$I$85,Inputs!$D$9:$D$89),37)+$C$16*INDEX(CHOOSE(MATCH(Inputs!$C$4,{"CIE 1931 2deg","CIE 1964 10deg","CIE 2015 2deg","Pasted below"},0),Tables!$D$5:$D$85,Tables!$G$5:$G$85,Tables!$J$5:$J$85,Inputs!$E$9:$E$89),37)</f>
        <v/>
      </c>
    </row>
    <row r="42">
      <c r="I42" t="n">
        <v>565</v>
      </c>
      <c r="J42" s="4">
        <f>$A$14*INDEX(CHOOSE(MATCH(Inputs!$C$4,{"CIE 1931 2deg","CIE 1964 10deg","CIE 2015 2deg","Pasted below"},0),Tables!$B$5:$B$85,Tables!$E$5:$E$85,Tables!$H$5:$H$85,Inputs!$C$9:$C$89),38)+$B$14*INDEX(CHOOSE(MATCH(Inputs!$C$4,{"CIE 1931 2deg","CIE 1964 10deg","CIE 2015 2deg","Pasted below"},0),Tables!$C$5:$C$85,Tables!$F$5:$F$85,Tables!$I$5:$I$85,Inputs!$D$9:$D$89),38)+$C$14*INDEX(CHOOSE(MATCH(Inputs!$C$4,{"CIE 1931 2deg","CIE 1964 10deg","CIE 2015 2deg","Pasted below"},0),Tables!$D$5:$D$85,Tables!$G$5:$G$85,Tables!$J$5:$J$85,Inputs!$E$9:$E$89),38)</f>
        <v/>
      </c>
      <c r="K42" s="4">
        <f>$A$15*INDEX(CHOOSE(MATCH(Inputs!$C$4,{"CIE 1931 2deg","CIE 1964 10deg","CIE 2015 2deg","Pasted below"},0),Tables!$B$5:$B$85,Tables!$E$5:$E$85,Tables!$H$5:$H$85,Inputs!$C$9:$C$89),38)+$B$15*INDEX(CHOOSE(MATCH(Inputs!$C$4,{"CIE 1931 2deg","CIE 1964 10deg","CIE 2015 2deg","Pasted below"},0),Tables!$C$5:$C$85,Tables!$F$5:$F$85,Tables!$I$5:$I$85,Inputs!$D$9:$D$89),38)+$C$15*INDEX(CHOOSE(MATCH(Inputs!$C$4,{"CIE 1931 2deg","CIE 1964 10deg","CIE 2015 2deg","Pasted below"},0),Tables!$D$5:$D$85,Tables!$G$5:$G$85,Tables!$J$5:$J$85,Inputs!$E$9:$E$89),38)</f>
        <v/>
      </c>
      <c r="L42" s="4">
        <f>$A$16*INDEX(CHOOSE(MATCH(Inputs!$C$4,{"CIE 1931 2deg","CIE 1964 10deg","CIE 2015 2deg","Pasted below"},0),Tables!$B$5:$B$85,Tables!$E$5:$E$85,Tables!$H$5:$H$85,Inputs!$C$9:$C$89),38)+$B$16*INDEX(CHOOSE(MATCH(Inputs!$C$4,{"CIE 1931 2deg","CIE 1964 10deg","CIE 2015 2deg","Pasted below"},0),Tables!$C$5:$C$85,Tables!$F$5:$F$85,Tables!$I$5:$I$85,Inputs!$D$9:$D$89),38)+$C$16*INDEX(CHOOSE(MATCH(Inputs!$C$4,{"CIE 1931 2deg","CIE 1964 10deg","CIE 2015 2deg","Pasted below"},0),Tables!$D$5:$D$85,Tables!$G$5:$G$85,Tables!$J$5:$J$85,Inputs!$E$9:$E$89),38)</f>
        <v/>
      </c>
    </row>
    <row r="43">
      <c r="I43" t="n">
        <v>570</v>
      </c>
      <c r="J43" s="4">
        <f>$A$14*INDEX(CHOOSE(MATCH(Inputs!$C$4,{"CIE 1931 2deg","CIE 1964 10deg","CIE 2015 2deg","Pasted below"},0),Tables!$B$5:$B$85,Tables!$E$5:$E$85,Tables!$H$5:$H$85,Inputs!$C$9:$C$89),39)+$B$14*INDEX(CHOOSE(MATCH(Inputs!$C$4,{"CIE 1931 2deg","CIE 1964 10deg","CIE 2015 2deg","Pasted below"},0),Tables!$C$5:$C$85,Tables!$F$5:$F$85,Tables!$I$5:$I$85,Inputs!$D$9:$D$89),39)+$C$14*INDEX(CHOOSE(MATCH(Inputs!$C$4,{"CIE 1931 2deg","CIE 1964 10deg","CIE 2015 2deg","Pasted below"},0),Tables!$D$5:$D$85,Tables!$G$5:$G$85,Tables!$J$5:$J$85,Inputs!$E$9:$E$89),39)</f>
        <v/>
      </c>
      <c r="K43" s="4">
        <f>$A$15*INDEX(CHOOSE(MATCH(Inputs!$C$4,{"CIE 1931 2deg","CIE 1964 10deg","CIE 2015 2deg","Pasted below"},0),Tables!$B$5:$B$85,Tables!$E$5:$E$85,Tables!$H$5:$H$85,Inputs!$C$9:$C$89),39)+$B$15*INDEX(CHOOSE(MATCH(Inputs!$C$4,{"CIE 1931 2deg","CIE 1964 10deg","CIE 2015 2deg","Pasted below"},0),Tables!$C$5:$C$85,Tables!$F$5:$F$85,Tables!$I$5:$I$85,Inputs!$D$9:$D$89),39)+$C$15*INDEX(CHOOSE(MATCH(Inputs!$C$4,{"CIE 1931 2deg","CIE 1964 10deg","CIE 2015 2deg","Pasted below"},0),Tables!$D$5:$D$85,Tables!$G$5:$G$85,Tables!$J$5:$J$85,Inputs!$E$9:$E$89),39)</f>
        <v/>
      </c>
      <c r="L43" s="4">
        <f>$A$16*INDEX(CHOOSE(MATCH(Inputs!$C$4,{"CIE 1931 2deg","CIE 1964 10deg","CIE 2015 2deg","Pasted below"},0),Tables!$B$5:$B$85,Tables!$E$5:$E$85,Tables!$H$5:$H$85,Inputs!$C$9:$C$89),39)+$B$16*INDEX(CHOOSE(MATCH(Inputs!$C$4,{"CIE 1931 2deg","CIE 1964 10deg","CIE 2015 2deg","Pasted below"},0),Tables!$C$5:$C$85,Tables!$F$5:$F$85,Tables!$I$5:$I$85,Inputs!$D$9:$D$89),39)+$C$16*INDEX(CHOOSE(MATCH(Inputs!$C$4,{"CIE 1931 2deg","CIE 1964 10deg","CIE 2015 2deg","Pasted below"},0),Tables!$D$5:$D$85,Tables!$G$5:$G$85,Tables!$J$5:$J$85,Inputs!$E$9:$E$89),39)</f>
        <v/>
      </c>
    </row>
    <row r="44">
      <c r="I44" t="n">
        <v>575</v>
      </c>
      <c r="J44" s="4">
        <f>$A$14*INDEX(CHOOSE(MATCH(Inputs!$C$4,{"CIE 1931 2deg","CIE 1964 10deg","CIE 2015 2deg","Pasted below"},0),Tables!$B$5:$B$85,Tables!$E$5:$E$85,Tables!$H$5:$H$85,Inputs!$C$9:$C$89),40)+$B$14*INDEX(CHOOSE(MATCH(Inputs!$C$4,{"CIE 1931 2deg","CIE 1964 10deg","CIE 2015 2deg","Pasted below"},0),Tables!$C$5:$C$85,Tables!$F$5:$F$85,Tables!$I$5:$I$85,Inputs!$D$9:$D$89),40)+$C$14*INDEX(CHOOSE(MATCH(Inputs!$C$4,{"CIE 1931 2deg","CIE 1964 10deg","CIE 2015 2deg","Pasted below"},0),Tables!$D$5:$D$85,Tables!$G$5:$G$85,Tables!$J$5:$J$85,Inputs!$E$9:$E$89),40)</f>
        <v/>
      </c>
      <c r="K44" s="4">
        <f>$A$15*INDEX(CHOOSE(MATCH(Inputs!$C$4,{"CIE 1931 2deg","CIE 1964 10deg","CIE 2015 2deg","Pasted below"},0),Tables!$B$5:$B$85,Tables!$E$5:$E$85,Tables!$H$5:$H$85,Inputs!$C$9:$C$89),40)+$B$15*INDEX(CHOOSE(MATCH(Inputs!$C$4,{"CIE 1931 2deg","CIE 1964 10deg","CIE 2015 2deg","Pasted below"},0),Tables!$C$5:$C$85,Tables!$F$5:$F$85,Tables!$I$5:$I$85,Inputs!$D$9:$D$89),40)+$C$15*INDEX(CHOOSE(MATCH(Inputs!$C$4,{"CIE 1931 2deg","CIE 1964 10deg","CIE 2015 2deg","Pasted below"},0),Tables!$D$5:$D$85,Tables!$G$5:$G$85,Tables!$J$5:$J$85,Inputs!$E$9:$E$89),40)</f>
        <v/>
      </c>
      <c r="L44" s="4">
        <f>$A$16*INDEX(CHOOSE(MATCH(Inputs!$C$4,{"CIE 1931 2deg","CIE 1964 10deg","CIE 2015 2deg","Pasted below"},0),Tables!$B$5:$B$85,Tables!$E$5:$E$85,Tables!$H$5:$H$85,Inputs!$C$9:$C$89),40)+$B$16*INDEX(CHOOSE(MATCH(Inputs!$C$4,{"CIE 1931 2deg","CIE 1964 10deg","CIE 2015 2deg","Pasted below"},0),Tables!$C$5:$C$85,Tables!$F$5:$F$85,Tables!$I$5:$I$85,Inputs!$D$9:$D$89),40)+$C$16*INDEX(CHOOSE(MATCH(Inputs!$C$4,{"CIE 1931 2deg","CIE 1964 10deg","CIE 2015 2deg","Pasted below"},0),Tables!$D$5:$D$85,Tables!$G$5:$G$85,Tables!$J$5:$J$85,Inputs!$E$9:$E$89),40)</f>
        <v/>
      </c>
    </row>
    <row r="45">
      <c r="I45" t="n">
        <v>580</v>
      </c>
      <c r="J45" s="4">
        <f>$A$14*INDEX(CHOOSE(MATCH(Inputs!$C$4,{"CIE 1931 2deg","CIE 1964 10deg","CIE 2015 2deg","Pasted below"},0),Tables!$B$5:$B$85,Tables!$E$5:$E$85,Tables!$H$5:$H$85,Inputs!$C$9:$C$89),41)+$B$14*INDEX(CHOOSE(MATCH(Inputs!$C$4,{"CIE 1931 2deg","CIE 1964 10deg","CIE 2015 2deg","Pasted below"},0),Tables!$C$5:$C$85,Tables!$F$5:$F$85,Tables!$I$5:$I$85,Inputs!$D$9:$D$89),41)+$C$14*INDEX(CHOOSE(MATCH(Inputs!$C$4,{"CIE 1931 2deg","CIE 1964 10deg","CIE 2015 2deg","Pasted below"},0),Tables!$D$5:$D$85,Tables!$G$5:$G$85,Tables!$J$5:$J$85,Inputs!$E$9:$E$89),41)</f>
        <v/>
      </c>
      <c r="K45" s="4">
        <f>$A$15*INDEX(CHOOSE(MATCH(Inputs!$C$4,{"CIE 1931 2deg","CIE 1964 10deg","CIE 2015 2deg","Pasted below"},0),Tables!$B$5:$B$85,Tables!$E$5:$E$85,Tables!$H$5:$H$85,Inputs!$C$9:$C$89),41)+$B$15*INDEX(CHOOSE(MATCH(Inputs!$C$4,{"CIE 1931 2deg","CIE 1964 10deg","CIE 2015 2deg","Pasted below"},0),Tables!$C$5:$C$85,Tables!$F$5:$F$85,Tables!$I$5:$I$85,Inputs!$D$9:$D$89),41)+$C$15*INDEX(CHOOSE(MATCH(Inputs!$C$4,{"CIE 1931 2deg","CIE 1964 10deg","CIE 2015 2deg","Pasted below"},0),Tables!$D$5:$D$85,Tables!$G$5:$G$85,Tables!$J$5:$J$85,Inputs!$E$9:$E$89),41)</f>
        <v/>
      </c>
      <c r="L45" s="4">
        <f>$A$16*INDEX(CHOOSE(MATCH(Inputs!$C$4,{"CIE 1931 2deg","CIE 1964 10deg","CIE 2015 2deg","Pasted below"},0),Tables!$B$5:$B$85,Tables!$E$5:$E$85,Tables!$H$5:$H$85,Inputs!$C$9:$C$89),41)+$B$16*INDEX(CHOOSE(MATCH(Inputs!$C$4,{"CIE 1931 2deg","CIE 1964 10deg","CIE 2015 2deg","Pasted below"},0),Tables!$C$5:$C$85,Tables!$F$5:$F$85,Tables!$I$5:$I$85,Inputs!$D$9:$D$89),41)+$C$16*INDEX(CHOOSE(MATCH(Inputs!$C$4,{"CIE 1931 2deg","CIE 1964 10deg","CIE 2015 2deg","Pasted below"},0),Tables!$D$5:$D$85,Tables!$G$5:$G$85,Tables!$J$5:$J$85,Inputs!$E$9:$E$89),41)</f>
        <v/>
      </c>
    </row>
    <row r="46">
      <c r="I46" t="n">
        <v>585</v>
      </c>
      <c r="J46" s="4">
        <f>$A$14*INDEX(CHOOSE(MATCH(Inputs!$C$4,{"CIE 1931 2deg","CIE 1964 10deg","CIE 2015 2deg","Pasted below"},0),Tables!$B$5:$B$85,Tables!$E$5:$E$85,Tables!$H$5:$H$85,Inputs!$C$9:$C$89),42)+$B$14*INDEX(CHOOSE(MATCH(Inputs!$C$4,{"CIE 1931 2deg","CIE 1964 10deg","CIE 2015 2deg","Pasted below"},0),Tables!$C$5:$C$85,Tables!$F$5:$F$85,Tables!$I$5:$I$85,Inputs!$D$9:$D$89),42)+$C$14*INDEX(CHOOSE(MATCH(Inputs!$C$4,{"CIE 1931 2deg","CIE 1964 10deg","CIE 2015 2deg","Pasted below"},0),Tables!$D$5:$D$85,Tables!$G$5:$G$85,Tables!$J$5:$J$85,Inputs!$E$9:$E$89),42)</f>
        <v/>
      </c>
      <c r="K46" s="4">
        <f>$A$15*INDEX(CHOOSE(MATCH(Inputs!$C$4,{"CIE 1931 2deg","CIE 1964 10deg","CIE 2015 2deg","Pasted below"},0),Tables!$B$5:$B$85,Tables!$E$5:$E$85,Tables!$H$5:$H$85,Inputs!$C$9:$C$89),42)+$B$15*INDEX(CHOOSE(MATCH(Inputs!$C$4,{"CIE 1931 2deg","CIE 1964 10deg","CIE 2015 2deg","Pasted below"},0),Tables!$C$5:$C$85,Tables!$F$5:$F$85,Tables!$I$5:$I$85,Inputs!$D$9:$D$89),42)+$C$15*INDEX(CHOOSE(MATCH(Inputs!$C$4,{"CIE 1931 2deg","CIE 1964 10deg","CIE 2015 2deg","Pasted below"},0),Tables!$D$5:$D$85,Tables!$G$5:$G$85,Tables!$J$5:$J$85,Inputs!$E$9:$E$89),42)</f>
        <v/>
      </c>
      <c r="L46" s="4">
        <f>$A$16*INDEX(CHOOSE(MATCH(Inputs!$C$4,{"CIE 1931 2deg","CIE 1964 10deg","CIE 2015 2deg","Pasted below"},0),Tables!$B$5:$B$85,Tables!$E$5:$E$85,Tables!$H$5:$H$85,Inputs!$C$9:$C$89),42)+$B$16*INDEX(CHOOSE(MATCH(Inputs!$C$4,{"CIE 1931 2deg","CIE 1964 10deg","CIE 2015 2deg","Pasted below"},0),Tables!$C$5:$C$85,Tables!$F$5:$F$85,Tables!$I$5:$I$85,Inputs!$D$9:$D$89),42)+$C$16*INDEX(CHOOSE(MATCH(Inputs!$C$4,{"CIE 1931 2deg","CIE 1964 10deg","CIE 2015 2deg","Pasted below"},0),Tables!$D$5:$D$85,Tables!$G$5:$G$85,Tables!$J$5:$J$85,Inputs!$E$9:$E$89),42)</f>
        <v/>
      </c>
    </row>
    <row r="47">
      <c r="I47" t="n">
        <v>590</v>
      </c>
      <c r="J47" s="4">
        <f>$A$14*INDEX(CHOOSE(MATCH(Inputs!$C$4,{"CIE 1931 2deg","CIE 1964 10deg","CIE 2015 2deg","Pasted below"},0),Tables!$B$5:$B$85,Tables!$E$5:$E$85,Tables!$H$5:$H$85,Inputs!$C$9:$C$89),43)+$B$14*INDEX(CHOOSE(MATCH(Inputs!$C$4,{"CIE 1931 2deg","CIE 1964 10deg","CIE 2015 2deg","Pasted below"},0),Tables!$C$5:$C$85,Tables!$F$5:$F$85,Tables!$I$5:$I$85,Inputs!$D$9:$D$89),43)+$C$14*INDEX(CHOOSE(MATCH(Inputs!$C$4,{"CIE 1931 2deg","CIE 1964 10deg","CIE 2015 2deg","Pasted below"},0),Tables!$D$5:$D$85,Tables!$G$5:$G$85,Tables!$J$5:$J$85,Inputs!$E$9:$E$89),43)</f>
        <v/>
      </c>
      <c r="K47" s="4">
        <f>$A$15*INDEX(CHOOSE(MATCH(Inputs!$C$4,{"CIE 1931 2deg","CIE 1964 10deg","CIE 2015 2deg","Pasted below"},0),Tables!$B$5:$B$85,Tables!$E$5:$E$85,Tables!$H$5:$H$85,Inputs!$C$9:$C$89),43)+$B$15*INDEX(CHOOSE(MATCH(Inputs!$C$4,{"CIE 1931 2deg","CIE 1964 10deg","CIE 2015 2deg","Pasted below"},0),Tables!$C$5:$C$85,Tables!$F$5:$F$85,Tables!$I$5:$I$85,Inputs!$D$9:$D$89),43)+$C$15*INDEX(CHOOSE(MATCH(Inputs!$C$4,{"CIE 1931 2deg","CIE 1964 10deg","CIE 2015 2deg","Pasted below"},0),Tables!$D$5:$D$85,Tables!$G$5:$G$85,Tables!$J$5:$J$85,Inputs!$E$9:$E$89),43)</f>
        <v/>
      </c>
      <c r="L47" s="4">
        <f>$A$16*INDEX(CHOOSE(MATCH(Inputs!$C$4,{"CIE 1931 2deg","CIE 1964 10deg","CIE 2015 2deg","Pasted below"},0),Tables!$B$5:$B$85,Tables!$E$5:$E$85,Tables!$H$5:$H$85,Inputs!$C$9:$C$89),43)+$B$16*INDEX(CHOOSE(MATCH(Inputs!$C$4,{"CIE 1931 2deg","CIE 1964 10deg","CIE 2015 2deg","Pasted below"},0),Tables!$C$5:$C$85,Tables!$F$5:$F$85,Tables!$I$5:$I$85,Inputs!$D$9:$D$89),43)+$C$16*INDEX(CHOOSE(MATCH(Inputs!$C$4,{"CIE 1931 2deg","CIE 1964 10deg","CIE 2015 2deg","Pasted below"},0),Tables!$D$5:$D$85,Tables!$G$5:$G$85,Tables!$J$5:$J$85,Inputs!$E$9:$E$89),43)</f>
        <v/>
      </c>
    </row>
    <row r="48">
      <c r="I48" t="n">
        <v>595</v>
      </c>
      <c r="J48" s="4">
        <f>$A$14*INDEX(CHOOSE(MATCH(Inputs!$C$4,{"CIE 1931 2deg","CIE 1964 10deg","CIE 2015 2deg","Pasted below"},0),Tables!$B$5:$B$85,Tables!$E$5:$E$85,Tables!$H$5:$H$85,Inputs!$C$9:$C$89),44)+$B$14*INDEX(CHOOSE(MATCH(Inputs!$C$4,{"CIE 1931 2deg","CIE 1964 10deg","CIE 2015 2deg","Pasted below"},0),Tables!$C$5:$C$85,Tables!$F$5:$F$85,Tables!$I$5:$I$85,Inputs!$D$9:$D$89),44)+$C$14*INDEX(CHOOSE(MATCH(Inputs!$C$4,{"CIE 1931 2deg","CIE 1964 10deg","CIE 2015 2deg","Pasted below"},0),Tables!$D$5:$D$85,Tables!$G$5:$G$85,Tables!$J$5:$J$85,Inputs!$E$9:$E$89),44)</f>
        <v/>
      </c>
      <c r="K48" s="4">
        <f>$A$15*INDEX(CHOOSE(MATCH(Inputs!$C$4,{"CIE 1931 2deg","CIE 1964 10deg","CIE 2015 2deg","Pasted below"},0),Tables!$B$5:$B$85,Tables!$E$5:$E$85,Tables!$H$5:$H$85,Inputs!$C$9:$C$89),44)+$B$15*INDEX(CHOOSE(MATCH(Inputs!$C$4,{"CIE 1931 2deg","CIE 1964 10deg","CIE 2015 2deg","Pasted below"},0),Tables!$C$5:$C$85,Tables!$F$5:$F$85,Tables!$I$5:$I$85,Inputs!$D$9:$D$89),44)+$C$15*INDEX(CHOOSE(MATCH(Inputs!$C$4,{"CIE 1931 2deg","CIE 1964 10deg","CIE 2015 2deg","Pasted below"},0),Tables!$D$5:$D$85,Tables!$G$5:$G$85,Tables!$J$5:$J$85,Inputs!$E$9:$E$89),44)</f>
        <v/>
      </c>
      <c r="L48" s="4">
        <f>$A$16*INDEX(CHOOSE(MATCH(Inputs!$C$4,{"CIE 1931 2deg","CIE 1964 10deg","CIE 2015 2deg","Pasted below"},0),Tables!$B$5:$B$85,Tables!$E$5:$E$85,Tables!$H$5:$H$85,Inputs!$C$9:$C$89),44)+$B$16*INDEX(CHOOSE(MATCH(Inputs!$C$4,{"CIE 1931 2deg","CIE 1964 10deg","CIE 2015 2deg","Pasted below"},0),Tables!$C$5:$C$85,Tables!$F$5:$F$85,Tables!$I$5:$I$85,Inputs!$D$9:$D$89),44)+$C$16*INDEX(CHOOSE(MATCH(Inputs!$C$4,{"CIE 1931 2deg","CIE 1964 10deg","CIE 2015 2deg","Pasted below"},0),Tables!$D$5:$D$85,Tables!$G$5:$G$85,Tables!$J$5:$J$85,Inputs!$E$9:$E$89),44)</f>
        <v/>
      </c>
    </row>
    <row r="49">
      <c r="I49" t="n">
        <v>600</v>
      </c>
      <c r="J49" s="4">
        <f>$A$14*INDEX(CHOOSE(MATCH(Inputs!$C$4,{"CIE 1931 2deg","CIE 1964 10deg","CIE 2015 2deg","Pasted below"},0),Tables!$B$5:$B$85,Tables!$E$5:$E$85,Tables!$H$5:$H$85,Inputs!$C$9:$C$89),45)+$B$14*INDEX(CHOOSE(MATCH(Inputs!$C$4,{"CIE 1931 2deg","CIE 1964 10deg","CIE 2015 2deg","Pasted below"},0),Tables!$C$5:$C$85,Tables!$F$5:$F$85,Tables!$I$5:$I$85,Inputs!$D$9:$D$89),45)+$C$14*INDEX(CHOOSE(MATCH(Inputs!$C$4,{"CIE 1931 2deg","CIE 1964 10deg","CIE 2015 2deg","Pasted below"},0),Tables!$D$5:$D$85,Tables!$G$5:$G$85,Tables!$J$5:$J$85,Inputs!$E$9:$E$89),45)</f>
        <v/>
      </c>
      <c r="K49" s="4">
        <f>$A$15*INDEX(CHOOSE(MATCH(Inputs!$C$4,{"CIE 1931 2deg","CIE 1964 10deg","CIE 2015 2deg","Pasted below"},0),Tables!$B$5:$B$85,Tables!$E$5:$E$85,Tables!$H$5:$H$85,Inputs!$C$9:$C$89),45)+$B$15*INDEX(CHOOSE(MATCH(Inputs!$C$4,{"CIE 1931 2deg","CIE 1964 10deg","CIE 2015 2deg","Pasted below"},0),Tables!$C$5:$C$85,Tables!$F$5:$F$85,Tables!$I$5:$I$85,Inputs!$D$9:$D$89),45)+$C$15*INDEX(CHOOSE(MATCH(Inputs!$C$4,{"CIE 1931 2deg","CIE 1964 10deg","CIE 2015 2deg","Pasted below"},0),Tables!$D$5:$D$85,Tables!$G$5:$G$85,Tables!$J$5:$J$85,Inputs!$E$9:$E$89),45)</f>
        <v/>
      </c>
      <c r="L49" s="4">
        <f>$A$16*INDEX(CHOOSE(MATCH(Inputs!$C$4,{"CIE 1931 2deg","CIE 1964 10deg","CIE 2015 2deg","Pasted below"},0),Tables!$B$5:$B$85,Tables!$E$5:$E$85,Tables!$H$5:$H$85,Inputs!$C$9:$C$89),45)+$B$16*INDEX(CHOOSE(MATCH(Inputs!$C$4,{"CIE 1931 2deg","CIE 1964 10deg","CIE 2015 2deg","Pasted below"},0),Tables!$C$5:$C$85,Tables!$F$5:$F$85,Tables!$I$5:$I$85,Inputs!$D$9:$D$89),45)+$C$16*INDEX(CHOOSE(MATCH(Inputs!$C$4,{"CIE 1931 2deg","CIE 1964 10deg","CIE 2015 2deg","Pasted below"},0),Tables!$D$5:$D$85,Tables!$G$5:$G$85,Tables!$J$5:$J$85,Inputs!$E$9:$E$89),45)</f>
        <v/>
      </c>
    </row>
    <row r="50">
      <c r="I50" t="n">
        <v>605</v>
      </c>
      <c r="J50" s="4">
        <f>$A$14*INDEX(CHOOSE(MATCH(Inputs!$C$4,{"CIE 1931 2deg","CIE 1964 10deg","CIE 2015 2deg","Pasted below"},0),Tables!$B$5:$B$85,Tables!$E$5:$E$85,Tables!$H$5:$H$85,Inputs!$C$9:$C$89),46)+$B$14*INDEX(CHOOSE(MATCH(Inputs!$C$4,{"CIE 1931 2deg","CIE 1964 10deg","CIE 2015 2deg","Pasted below"},0),Tables!$C$5:$C$85,Tables!$F$5:$F$85,Tables!$I$5:$I$85,Inputs!$D$9:$D$89),46)+$C$14*INDEX(CHOOSE(MATCH(Inputs!$C$4,{"CIE 1931 2deg","CIE 1964 10deg","CIE 2015 2deg","Pasted below"},0),Tables!$D$5:$D$85,Tables!$G$5:$G$85,Tables!$J$5:$J$85,Inputs!$E$9:$E$89),46)</f>
        <v/>
      </c>
      <c r="K50" s="4">
        <f>$A$15*INDEX(CHOOSE(MATCH(Inputs!$C$4,{"CIE 1931 2deg","CIE 1964 10deg","CIE 2015 2deg","Pasted below"},0),Tables!$B$5:$B$85,Tables!$E$5:$E$85,Tables!$H$5:$H$85,Inputs!$C$9:$C$89),46)+$B$15*INDEX(CHOOSE(MATCH(Inputs!$C$4,{"CIE 1931 2deg","CIE 1964 10deg","CIE 2015 2deg","Pasted below"},0),Tables!$C$5:$C$85,Tables!$F$5:$F$85,Tables!$I$5:$I$85,Inputs!$D$9:$D$89),46)+$C$15*INDEX(CHOOSE(MATCH(Inputs!$C$4,{"CIE 1931 2deg","CIE 1964 10deg","CIE 2015 2deg","Pasted below"},0),Tables!$D$5:$D$85,Tables!$G$5:$G$85,Tables!$J$5:$J$85,Inputs!$E$9:$E$89),46)</f>
        <v/>
      </c>
      <c r="L50" s="4">
        <f>$A$16*INDEX(CHOOSE(MATCH(Inputs!$C$4,{"CIE 1931 2deg","CIE 1964 10deg","CIE 2015 2deg","Pasted below"},0),Tables!$B$5:$B$85,Tables!$E$5:$E$85,Tables!$H$5:$H$85,Inputs!$C$9:$C$89),46)+$B$16*INDEX(CHOOSE(MATCH(Inputs!$C$4,{"CIE 1931 2deg","CIE 1964 10deg","CIE 2015 2deg","Pasted below"},0),Tables!$C$5:$C$85,Tables!$F$5:$F$85,Tables!$I$5:$I$85,Inputs!$D$9:$D$89),46)+$C$16*INDEX(CHOOSE(MATCH(Inputs!$C$4,{"CIE 1931 2deg","CIE 1964 10deg","CIE 2015 2deg","Pasted below"},0),Tables!$D$5:$D$85,Tables!$G$5:$G$85,Tables!$J$5:$J$85,Inputs!$E$9:$E$89),46)</f>
        <v/>
      </c>
    </row>
    <row r="51">
      <c r="I51" t="n">
        <v>610</v>
      </c>
      <c r="J51" s="4">
        <f>$A$14*INDEX(CHOOSE(MATCH(Inputs!$C$4,{"CIE 1931 2deg","CIE 1964 10deg","CIE 2015 2deg","Pasted below"},0),Tables!$B$5:$B$85,Tables!$E$5:$E$85,Tables!$H$5:$H$85,Inputs!$C$9:$C$89),47)+$B$14*INDEX(CHOOSE(MATCH(Inputs!$C$4,{"CIE 1931 2deg","CIE 1964 10deg","CIE 2015 2deg","Pasted below"},0),Tables!$C$5:$C$85,Tables!$F$5:$F$85,Tables!$I$5:$I$85,Inputs!$D$9:$D$89),47)+$C$14*INDEX(CHOOSE(MATCH(Inputs!$C$4,{"CIE 1931 2deg","CIE 1964 10deg","CIE 2015 2deg","Pasted below"},0),Tables!$D$5:$D$85,Tables!$G$5:$G$85,Tables!$J$5:$J$85,Inputs!$E$9:$E$89),47)</f>
        <v/>
      </c>
      <c r="K51" s="4">
        <f>$A$15*INDEX(CHOOSE(MATCH(Inputs!$C$4,{"CIE 1931 2deg","CIE 1964 10deg","CIE 2015 2deg","Pasted below"},0),Tables!$B$5:$B$85,Tables!$E$5:$E$85,Tables!$H$5:$H$85,Inputs!$C$9:$C$89),47)+$B$15*INDEX(CHOOSE(MATCH(Inputs!$C$4,{"CIE 1931 2deg","CIE 1964 10deg","CIE 2015 2deg","Pasted below"},0),Tables!$C$5:$C$85,Tables!$F$5:$F$85,Tables!$I$5:$I$85,Inputs!$D$9:$D$89),47)+$C$15*INDEX(CHOOSE(MATCH(Inputs!$C$4,{"CIE 1931 2deg","CIE 1964 10deg","CIE 2015 2deg","Pasted below"},0),Tables!$D$5:$D$85,Tables!$G$5:$G$85,Tables!$J$5:$J$85,Inputs!$E$9:$E$89),47)</f>
        <v/>
      </c>
      <c r="L51" s="4">
        <f>$A$16*INDEX(CHOOSE(MATCH(Inputs!$C$4,{"CIE 1931 2deg","CIE 1964 10deg","CIE 2015 2deg","Pasted below"},0),Tables!$B$5:$B$85,Tables!$E$5:$E$85,Tables!$H$5:$H$85,Inputs!$C$9:$C$89),47)+$B$16*INDEX(CHOOSE(MATCH(Inputs!$C$4,{"CIE 1931 2deg","CIE 1964 10deg","CIE 2015 2deg","Pasted below"},0),Tables!$C$5:$C$85,Tables!$F$5:$F$85,Tables!$I$5:$I$85,Inputs!$D$9:$D$89),47)+$C$16*INDEX(CHOOSE(MATCH(Inputs!$C$4,{"CIE 1931 2deg","CIE 1964 10deg","CIE 2015 2deg","Pasted below"},0),Tables!$D$5:$D$85,Tables!$G$5:$G$85,Tables!$J$5:$J$85,Inputs!$E$9:$E$89),47)</f>
        <v/>
      </c>
    </row>
    <row r="52">
      <c r="I52" t="n">
        <v>615</v>
      </c>
      <c r="J52" s="4">
        <f>$A$14*INDEX(CHOOSE(MATCH(Inputs!$C$4,{"CIE 1931 2deg","CIE 1964 10deg","CIE 2015 2deg","Pasted below"},0),Tables!$B$5:$B$85,Tables!$E$5:$E$85,Tables!$H$5:$H$85,Inputs!$C$9:$C$89),48)+$B$14*INDEX(CHOOSE(MATCH(Inputs!$C$4,{"CIE 1931 2deg","CIE 1964 10deg","CIE 2015 2deg","Pasted below"},0),Tables!$C$5:$C$85,Tables!$F$5:$F$85,Tables!$I$5:$I$85,Inputs!$D$9:$D$89),48)+$C$14*INDEX(CHOOSE(MATCH(Inputs!$C$4,{"CIE 1931 2deg","CIE 1964 10deg","CIE 2015 2deg","Pasted below"},0),Tables!$D$5:$D$85,Tables!$G$5:$G$85,Tables!$J$5:$J$85,Inputs!$E$9:$E$89),48)</f>
        <v/>
      </c>
      <c r="K52" s="4">
        <f>$A$15*INDEX(CHOOSE(MATCH(Inputs!$C$4,{"CIE 1931 2deg","CIE 1964 10deg","CIE 2015 2deg","Pasted below"},0),Tables!$B$5:$B$85,Tables!$E$5:$E$85,Tables!$H$5:$H$85,Inputs!$C$9:$C$89),48)+$B$15*INDEX(CHOOSE(MATCH(Inputs!$C$4,{"CIE 1931 2deg","CIE 1964 10deg","CIE 2015 2deg","Pasted below"},0),Tables!$C$5:$C$85,Tables!$F$5:$F$85,Tables!$I$5:$I$85,Inputs!$D$9:$D$89),48)+$C$15*INDEX(CHOOSE(MATCH(Inputs!$C$4,{"CIE 1931 2deg","CIE 1964 10deg","CIE 2015 2deg","Pasted below"},0),Tables!$D$5:$D$85,Tables!$G$5:$G$85,Tables!$J$5:$J$85,Inputs!$E$9:$E$89),48)</f>
        <v/>
      </c>
      <c r="L52" s="4">
        <f>$A$16*INDEX(CHOOSE(MATCH(Inputs!$C$4,{"CIE 1931 2deg","CIE 1964 10deg","CIE 2015 2deg","Pasted below"},0),Tables!$B$5:$B$85,Tables!$E$5:$E$85,Tables!$H$5:$H$85,Inputs!$C$9:$C$89),48)+$B$16*INDEX(CHOOSE(MATCH(Inputs!$C$4,{"CIE 1931 2deg","CIE 1964 10deg","CIE 2015 2deg","Pasted below"},0),Tables!$C$5:$C$85,Tables!$F$5:$F$85,Tables!$I$5:$I$85,Inputs!$D$9:$D$89),48)+$C$16*INDEX(CHOOSE(MATCH(Inputs!$C$4,{"CIE 1931 2deg","CIE 1964 10deg","CIE 2015 2deg","Pasted below"},0),Tables!$D$5:$D$85,Tables!$G$5:$G$85,Tables!$J$5:$J$85,Inputs!$E$9:$E$89),48)</f>
        <v/>
      </c>
    </row>
    <row r="53">
      <c r="I53" t="n">
        <v>620</v>
      </c>
      <c r="J53" s="4">
        <f>$A$14*INDEX(CHOOSE(MATCH(Inputs!$C$4,{"CIE 1931 2deg","CIE 1964 10deg","CIE 2015 2deg","Pasted below"},0),Tables!$B$5:$B$85,Tables!$E$5:$E$85,Tables!$H$5:$H$85,Inputs!$C$9:$C$89),49)+$B$14*INDEX(CHOOSE(MATCH(Inputs!$C$4,{"CIE 1931 2deg","CIE 1964 10deg","CIE 2015 2deg","Pasted below"},0),Tables!$C$5:$C$85,Tables!$F$5:$F$85,Tables!$I$5:$I$85,Inputs!$D$9:$D$89),49)+$C$14*INDEX(CHOOSE(MATCH(Inputs!$C$4,{"CIE 1931 2deg","CIE 1964 10deg","CIE 2015 2deg","Pasted below"},0),Tables!$D$5:$D$85,Tables!$G$5:$G$85,Tables!$J$5:$J$85,Inputs!$E$9:$E$89),49)</f>
        <v/>
      </c>
      <c r="K53" s="4">
        <f>$A$15*INDEX(CHOOSE(MATCH(Inputs!$C$4,{"CIE 1931 2deg","CIE 1964 10deg","CIE 2015 2deg","Pasted below"},0),Tables!$B$5:$B$85,Tables!$E$5:$E$85,Tables!$H$5:$H$85,Inputs!$C$9:$C$89),49)+$B$15*INDEX(CHOOSE(MATCH(Inputs!$C$4,{"CIE 1931 2deg","CIE 1964 10deg","CIE 2015 2deg","Pasted below"},0),Tables!$C$5:$C$85,Tables!$F$5:$F$85,Tables!$I$5:$I$85,Inputs!$D$9:$D$89),49)+$C$15*INDEX(CHOOSE(MATCH(Inputs!$C$4,{"CIE 1931 2deg","CIE 1964 10deg","CIE 2015 2deg","Pasted below"},0),Tables!$D$5:$D$85,Tables!$G$5:$G$85,Tables!$J$5:$J$85,Inputs!$E$9:$E$89),49)</f>
        <v/>
      </c>
      <c r="L53" s="4">
        <f>$A$16*INDEX(CHOOSE(MATCH(Inputs!$C$4,{"CIE 1931 2deg","CIE 1964 10deg","CIE 2015 2deg","Pasted below"},0),Tables!$B$5:$B$85,Tables!$E$5:$E$85,Tables!$H$5:$H$85,Inputs!$C$9:$C$89),49)+$B$16*INDEX(CHOOSE(MATCH(Inputs!$C$4,{"CIE 1931 2deg","CIE 1964 10deg","CIE 2015 2deg","Pasted below"},0),Tables!$C$5:$C$85,Tables!$F$5:$F$85,Tables!$I$5:$I$85,Inputs!$D$9:$D$89),49)+$C$16*INDEX(CHOOSE(MATCH(Inputs!$C$4,{"CIE 1931 2deg","CIE 1964 10deg","CIE 2015 2deg","Pasted below"},0),Tables!$D$5:$D$85,Tables!$G$5:$G$85,Tables!$J$5:$J$85,Inputs!$E$9:$E$89),49)</f>
        <v/>
      </c>
    </row>
    <row r="54">
      <c r="I54" t="n">
        <v>625</v>
      </c>
      <c r="J54" s="4">
        <f>$A$14*INDEX(CHOOSE(MATCH(Inputs!$C$4,{"CIE 1931 2deg","CIE 1964 10deg","CIE 2015 2deg","Pasted below"},0),Tables!$B$5:$B$85,Tables!$E$5:$E$85,Tables!$H$5:$H$85,Inputs!$C$9:$C$89),50)+$B$14*INDEX(CHOOSE(MATCH(Inputs!$C$4,{"CIE 1931 2deg","CIE 1964 10deg","CIE 2015 2deg","Pasted below"},0),Tables!$C$5:$C$85,Tables!$F$5:$F$85,Tables!$I$5:$I$85,Inputs!$D$9:$D$89),50)+$C$14*INDEX(CHOOSE(MATCH(Inputs!$C$4,{"CIE 1931 2deg","CIE 1964 10deg","CIE 2015 2deg","Pasted below"},0),Tables!$D$5:$D$85,Tables!$G$5:$G$85,Tables!$J$5:$J$85,Inputs!$E$9:$E$89),50)</f>
        <v/>
      </c>
      <c r="K54" s="4">
        <f>$A$15*INDEX(CHOOSE(MATCH(Inputs!$C$4,{"CIE 1931 2deg","CIE 1964 10deg","CIE 2015 2deg","Pasted below"},0),Tables!$B$5:$B$85,Tables!$E$5:$E$85,Tables!$H$5:$H$85,Inputs!$C$9:$C$89),50)+$B$15*INDEX(CHOOSE(MATCH(Inputs!$C$4,{"CIE 1931 2deg","CIE 1964 10deg","CIE 2015 2deg","Pasted below"},0),Tables!$C$5:$C$85,Tables!$F$5:$F$85,Tables!$I$5:$I$85,Inputs!$D$9:$D$89),50)+$C$15*INDEX(CHOOSE(MATCH(Inputs!$C$4,{"CIE 1931 2deg","CIE 1964 10deg","CIE 2015 2deg","Pasted below"},0),Tables!$D$5:$D$85,Tables!$G$5:$G$85,Tables!$J$5:$J$85,Inputs!$E$9:$E$89),50)</f>
        <v/>
      </c>
      <c r="L54" s="4">
        <f>$A$16*INDEX(CHOOSE(MATCH(Inputs!$C$4,{"CIE 1931 2deg","CIE 1964 10deg","CIE 2015 2deg","Pasted below"},0),Tables!$B$5:$B$85,Tables!$E$5:$E$85,Tables!$H$5:$H$85,Inputs!$C$9:$C$89),50)+$B$16*INDEX(CHOOSE(MATCH(Inputs!$C$4,{"CIE 1931 2deg","CIE 1964 10deg","CIE 2015 2deg","Pasted below"},0),Tables!$C$5:$C$85,Tables!$F$5:$F$85,Tables!$I$5:$I$85,Inputs!$D$9:$D$89),50)+$C$16*INDEX(CHOOSE(MATCH(Inputs!$C$4,{"CIE 1931 2deg","CIE 1964 10deg","CIE 2015 2deg","Pasted below"},0),Tables!$D$5:$D$85,Tables!$G$5:$G$85,Tables!$J$5:$J$85,Inputs!$E$9:$E$89),50)</f>
        <v/>
      </c>
    </row>
    <row r="55">
      <c r="I55" t="n">
        <v>630</v>
      </c>
      <c r="J55" s="4">
        <f>$A$14*INDEX(CHOOSE(MATCH(Inputs!$C$4,{"CIE 1931 2deg","CIE 1964 10deg","CIE 2015 2deg","Pasted below"},0),Tables!$B$5:$B$85,Tables!$E$5:$E$85,Tables!$H$5:$H$85,Inputs!$C$9:$C$89),51)+$B$14*INDEX(CHOOSE(MATCH(Inputs!$C$4,{"CIE 1931 2deg","CIE 1964 10deg","CIE 2015 2deg","Pasted below"},0),Tables!$C$5:$C$85,Tables!$F$5:$F$85,Tables!$I$5:$I$85,Inputs!$D$9:$D$89),51)+$C$14*INDEX(CHOOSE(MATCH(Inputs!$C$4,{"CIE 1931 2deg","CIE 1964 10deg","CIE 2015 2deg","Pasted below"},0),Tables!$D$5:$D$85,Tables!$G$5:$G$85,Tables!$J$5:$J$85,Inputs!$E$9:$E$89),51)</f>
        <v/>
      </c>
      <c r="K55" s="4">
        <f>$A$15*INDEX(CHOOSE(MATCH(Inputs!$C$4,{"CIE 1931 2deg","CIE 1964 10deg","CIE 2015 2deg","Pasted below"},0),Tables!$B$5:$B$85,Tables!$E$5:$E$85,Tables!$H$5:$H$85,Inputs!$C$9:$C$89),51)+$B$15*INDEX(CHOOSE(MATCH(Inputs!$C$4,{"CIE 1931 2deg","CIE 1964 10deg","CIE 2015 2deg","Pasted below"},0),Tables!$C$5:$C$85,Tables!$F$5:$F$85,Tables!$I$5:$I$85,Inputs!$D$9:$D$89),51)+$C$15*INDEX(CHOOSE(MATCH(Inputs!$C$4,{"CIE 1931 2deg","CIE 1964 10deg","CIE 2015 2deg","Pasted below"},0),Tables!$D$5:$D$85,Tables!$G$5:$G$85,Tables!$J$5:$J$85,Inputs!$E$9:$E$89),51)</f>
        <v/>
      </c>
      <c r="L55" s="4">
        <f>$A$16*INDEX(CHOOSE(MATCH(Inputs!$C$4,{"CIE 1931 2deg","CIE 1964 10deg","CIE 2015 2deg","Pasted below"},0),Tables!$B$5:$B$85,Tables!$E$5:$E$85,Tables!$H$5:$H$85,Inputs!$C$9:$C$89),51)+$B$16*INDEX(CHOOSE(MATCH(Inputs!$C$4,{"CIE 1931 2deg","CIE 1964 10deg","CIE 2015 2deg","Pasted below"},0),Tables!$C$5:$C$85,Tables!$F$5:$F$85,Tables!$I$5:$I$85,Inputs!$D$9:$D$89),51)+$C$16*INDEX(CHOOSE(MATCH(Inputs!$C$4,{"CIE 1931 2deg","CIE 1964 10deg","CIE 2015 2deg","Pasted below"},0),Tables!$D$5:$D$85,Tables!$G$5:$G$85,Tables!$J$5:$J$85,Inputs!$E$9:$E$89),51)</f>
        <v/>
      </c>
    </row>
    <row r="56">
      <c r="I56" t="n">
        <v>635</v>
      </c>
      <c r="J56" s="4">
        <f>$A$14*INDEX(CHOOSE(MATCH(Inputs!$C$4,{"CIE 1931 2deg","CIE 1964 10deg","CIE 2015 2deg","Pasted below"},0),Tables!$B$5:$B$85,Tables!$E$5:$E$85,Tables!$H$5:$H$85,Inputs!$C$9:$C$89),52)+$B$14*INDEX(CHOOSE(MATCH(Inputs!$C$4,{"CIE 1931 2deg","CIE 1964 10deg","CIE 2015 2deg","Pasted below"},0),Tables!$C$5:$C$85,Tables!$F$5:$F$85,Tables!$I$5:$I$85,Inputs!$D$9:$D$89),52)+$C$14*INDEX(CHOOSE(MATCH(Inputs!$C$4,{"CIE 1931 2deg","CIE 1964 10deg","CIE 2015 2deg","Pasted below"},0),Tables!$D$5:$D$85,Tables!$G$5:$G$85,Tables!$J$5:$J$85,Inputs!$E$9:$E$89),52)</f>
        <v/>
      </c>
      <c r="K56" s="4">
        <f>$A$15*INDEX(CHOOSE(MATCH(Inputs!$C$4,{"CIE 1931 2deg","CIE 1964 10deg","CIE 2015 2deg","Pasted below"},0),Tables!$B$5:$B$85,Tables!$E$5:$E$85,Tables!$H$5:$H$85,Inputs!$C$9:$C$89),52)+$B$15*INDEX(CHOOSE(MATCH(Inputs!$C$4,{"CIE 1931 2deg","CIE 1964 10deg","CIE 2015 2deg","Pasted below"},0),Tables!$C$5:$C$85,Tables!$F$5:$F$85,Tables!$I$5:$I$85,Inputs!$D$9:$D$89),52)+$C$15*INDEX(CHOOSE(MATCH(Inputs!$C$4,{"CIE 1931 2deg","CIE 1964 10deg","CIE 2015 2deg","Pasted below"},0),Tables!$D$5:$D$85,Tables!$G$5:$G$85,Tables!$J$5:$J$85,Inputs!$E$9:$E$89),52)</f>
        <v/>
      </c>
      <c r="L56" s="4">
        <f>$A$16*INDEX(CHOOSE(MATCH(Inputs!$C$4,{"CIE 1931 2deg","CIE 1964 10deg","CIE 2015 2deg","Pasted below"},0),Tables!$B$5:$B$85,Tables!$E$5:$E$85,Tables!$H$5:$H$85,Inputs!$C$9:$C$89),52)+$B$16*INDEX(CHOOSE(MATCH(Inputs!$C$4,{"CIE 1931 2deg","CIE 1964 10deg","CIE 2015 2deg","Pasted below"},0),Tables!$C$5:$C$85,Tables!$F$5:$F$85,Tables!$I$5:$I$85,Inputs!$D$9:$D$89),52)+$C$16*INDEX(CHOOSE(MATCH(Inputs!$C$4,{"CIE 1931 2deg","CIE 1964 10deg","CIE 2015 2deg","Pasted below"},0),Tables!$D$5:$D$85,Tables!$G$5:$G$85,Tables!$J$5:$J$85,Inputs!$E$9:$E$89),52)</f>
        <v/>
      </c>
    </row>
    <row r="57">
      <c r="I57" t="n">
        <v>640</v>
      </c>
      <c r="J57" s="4">
        <f>$A$14*INDEX(CHOOSE(MATCH(Inputs!$C$4,{"CIE 1931 2deg","CIE 1964 10deg","CIE 2015 2deg","Pasted below"},0),Tables!$B$5:$B$85,Tables!$E$5:$E$85,Tables!$H$5:$H$85,Inputs!$C$9:$C$89),53)+$B$14*INDEX(CHOOSE(MATCH(Inputs!$C$4,{"CIE 1931 2deg","CIE 1964 10deg","CIE 2015 2deg","Pasted below"},0),Tables!$C$5:$C$85,Tables!$F$5:$F$85,Tables!$I$5:$I$85,Inputs!$D$9:$D$89),53)+$C$14*INDEX(CHOOSE(MATCH(Inputs!$C$4,{"CIE 1931 2deg","CIE 1964 10deg","CIE 2015 2deg","Pasted below"},0),Tables!$D$5:$D$85,Tables!$G$5:$G$85,Tables!$J$5:$J$85,Inputs!$E$9:$E$89),53)</f>
        <v/>
      </c>
      <c r="K57" s="4">
        <f>$A$15*INDEX(CHOOSE(MATCH(Inputs!$C$4,{"CIE 1931 2deg","CIE 1964 10deg","CIE 2015 2deg","Pasted below"},0),Tables!$B$5:$B$85,Tables!$E$5:$E$85,Tables!$H$5:$H$85,Inputs!$C$9:$C$89),53)+$B$15*INDEX(CHOOSE(MATCH(Inputs!$C$4,{"CIE 1931 2deg","CIE 1964 10deg","CIE 2015 2deg","Pasted below"},0),Tables!$C$5:$C$85,Tables!$F$5:$F$85,Tables!$I$5:$I$85,Inputs!$D$9:$D$89),53)+$C$15*INDEX(CHOOSE(MATCH(Inputs!$C$4,{"CIE 1931 2deg","CIE 1964 10deg","CIE 2015 2deg","Pasted below"},0),Tables!$D$5:$D$85,Tables!$G$5:$G$85,Tables!$J$5:$J$85,Inputs!$E$9:$E$89),53)</f>
        <v/>
      </c>
      <c r="L57" s="4">
        <f>$A$16*INDEX(CHOOSE(MATCH(Inputs!$C$4,{"CIE 1931 2deg","CIE 1964 10deg","CIE 2015 2deg","Pasted below"},0),Tables!$B$5:$B$85,Tables!$E$5:$E$85,Tables!$H$5:$H$85,Inputs!$C$9:$C$89),53)+$B$16*INDEX(CHOOSE(MATCH(Inputs!$C$4,{"CIE 1931 2deg","CIE 1964 10deg","CIE 2015 2deg","Pasted below"},0),Tables!$C$5:$C$85,Tables!$F$5:$F$85,Tables!$I$5:$I$85,Inputs!$D$9:$D$89),53)+$C$16*INDEX(CHOOSE(MATCH(Inputs!$C$4,{"CIE 1931 2deg","CIE 1964 10deg","CIE 2015 2deg","Pasted below"},0),Tables!$D$5:$D$85,Tables!$G$5:$G$85,Tables!$J$5:$J$85,Inputs!$E$9:$E$89),53)</f>
        <v/>
      </c>
    </row>
    <row r="58">
      <c r="I58" t="n">
        <v>645</v>
      </c>
      <c r="J58" s="4">
        <f>$A$14*INDEX(CHOOSE(MATCH(Inputs!$C$4,{"CIE 1931 2deg","CIE 1964 10deg","CIE 2015 2deg","Pasted below"},0),Tables!$B$5:$B$85,Tables!$E$5:$E$85,Tables!$H$5:$H$85,Inputs!$C$9:$C$89),54)+$B$14*INDEX(CHOOSE(MATCH(Inputs!$C$4,{"CIE 1931 2deg","CIE 1964 10deg","CIE 2015 2deg","Pasted below"},0),Tables!$C$5:$C$85,Tables!$F$5:$F$85,Tables!$I$5:$I$85,Inputs!$D$9:$D$89),54)+$C$14*INDEX(CHOOSE(MATCH(Inputs!$C$4,{"CIE 1931 2deg","CIE 1964 10deg","CIE 2015 2deg","Pasted below"},0),Tables!$D$5:$D$85,Tables!$G$5:$G$85,Tables!$J$5:$J$85,Inputs!$E$9:$E$89),54)</f>
        <v/>
      </c>
      <c r="K58" s="4">
        <f>$A$15*INDEX(CHOOSE(MATCH(Inputs!$C$4,{"CIE 1931 2deg","CIE 1964 10deg","CIE 2015 2deg","Pasted below"},0),Tables!$B$5:$B$85,Tables!$E$5:$E$85,Tables!$H$5:$H$85,Inputs!$C$9:$C$89),54)+$B$15*INDEX(CHOOSE(MATCH(Inputs!$C$4,{"CIE 1931 2deg","CIE 1964 10deg","CIE 2015 2deg","Pasted below"},0),Tables!$C$5:$C$85,Tables!$F$5:$F$85,Tables!$I$5:$I$85,Inputs!$D$9:$D$89),54)+$C$15*INDEX(CHOOSE(MATCH(Inputs!$C$4,{"CIE 1931 2deg","CIE 1964 10deg","CIE 2015 2deg","Pasted below"},0),Tables!$D$5:$D$85,Tables!$G$5:$G$85,Tables!$J$5:$J$85,Inputs!$E$9:$E$89),54)</f>
        <v/>
      </c>
      <c r="L58" s="4">
        <f>$A$16*INDEX(CHOOSE(MATCH(Inputs!$C$4,{"CIE 1931 2deg","CIE 1964 10deg","CIE 2015 2deg","Pasted below"},0),Tables!$B$5:$B$85,Tables!$E$5:$E$85,Tables!$H$5:$H$85,Inputs!$C$9:$C$89),54)+$B$16*INDEX(CHOOSE(MATCH(Inputs!$C$4,{"CIE 1931 2deg","CIE 1964 10deg","CIE 2015 2deg","Pasted below"},0),Tables!$C$5:$C$85,Tables!$F$5:$F$85,Tables!$I$5:$I$85,Inputs!$D$9:$D$89),54)+$C$16*INDEX(CHOOSE(MATCH(Inputs!$C$4,{"CIE 1931 2deg","CIE 1964 10deg","CIE 2015 2deg","Pasted below"},0),Tables!$D$5:$D$85,Tables!$G$5:$G$85,Tables!$J$5:$J$85,Inputs!$E$9:$E$89),54)</f>
        <v/>
      </c>
    </row>
    <row r="59">
      <c r="I59" t="n">
        <v>650</v>
      </c>
      <c r="J59" s="4">
        <f>$A$14*INDEX(CHOOSE(MATCH(Inputs!$C$4,{"CIE 1931 2deg","CIE 1964 10deg","CIE 2015 2deg","Pasted below"},0),Tables!$B$5:$B$85,Tables!$E$5:$E$85,Tables!$H$5:$H$85,Inputs!$C$9:$C$89),55)+$B$14*INDEX(CHOOSE(MATCH(Inputs!$C$4,{"CIE 1931 2deg","CIE 1964 10deg","CIE 2015 2deg","Pasted below"},0),Tables!$C$5:$C$85,Tables!$F$5:$F$85,Tables!$I$5:$I$85,Inputs!$D$9:$D$89),55)+$C$14*INDEX(CHOOSE(MATCH(Inputs!$C$4,{"CIE 1931 2deg","CIE 1964 10deg","CIE 2015 2deg","Pasted below"},0),Tables!$D$5:$D$85,Tables!$G$5:$G$85,Tables!$J$5:$J$85,Inputs!$E$9:$E$89),55)</f>
        <v/>
      </c>
      <c r="K59" s="4">
        <f>$A$15*INDEX(CHOOSE(MATCH(Inputs!$C$4,{"CIE 1931 2deg","CIE 1964 10deg","CIE 2015 2deg","Pasted below"},0),Tables!$B$5:$B$85,Tables!$E$5:$E$85,Tables!$H$5:$H$85,Inputs!$C$9:$C$89),55)+$B$15*INDEX(CHOOSE(MATCH(Inputs!$C$4,{"CIE 1931 2deg","CIE 1964 10deg","CIE 2015 2deg","Pasted below"},0),Tables!$C$5:$C$85,Tables!$F$5:$F$85,Tables!$I$5:$I$85,Inputs!$D$9:$D$89),55)+$C$15*INDEX(CHOOSE(MATCH(Inputs!$C$4,{"CIE 1931 2deg","CIE 1964 10deg","CIE 2015 2deg","Pasted below"},0),Tables!$D$5:$D$85,Tables!$G$5:$G$85,Tables!$J$5:$J$85,Inputs!$E$9:$E$89),55)</f>
        <v/>
      </c>
      <c r="L59" s="4">
        <f>$A$16*INDEX(CHOOSE(MATCH(Inputs!$C$4,{"CIE 1931 2deg","CIE 1964 10deg","CIE 2015 2deg","Pasted below"},0),Tables!$B$5:$B$85,Tables!$E$5:$E$85,Tables!$H$5:$H$85,Inputs!$C$9:$C$89),55)+$B$16*INDEX(CHOOSE(MATCH(Inputs!$C$4,{"CIE 1931 2deg","CIE 1964 10deg","CIE 2015 2deg","Pasted below"},0),Tables!$C$5:$C$85,Tables!$F$5:$F$85,Tables!$I$5:$I$85,Inputs!$D$9:$D$89),55)+$C$16*INDEX(CHOOSE(MATCH(Inputs!$C$4,{"CIE 1931 2deg","CIE 1964 10deg","CIE 2015 2deg","Pasted below"},0),Tables!$D$5:$D$85,Tables!$G$5:$G$85,Tables!$J$5:$J$85,Inputs!$E$9:$E$89),55)</f>
        <v/>
      </c>
    </row>
    <row r="60">
      <c r="I60" t="n">
        <v>655</v>
      </c>
      <c r="J60" s="4">
        <f>$A$14*INDEX(CHOOSE(MATCH(Inputs!$C$4,{"CIE 1931 2deg","CIE 1964 10deg","CIE 2015 2deg","Pasted below"},0),Tables!$B$5:$B$85,Tables!$E$5:$E$85,Tables!$H$5:$H$85,Inputs!$C$9:$C$89),56)+$B$14*INDEX(CHOOSE(MATCH(Inputs!$C$4,{"CIE 1931 2deg","CIE 1964 10deg","CIE 2015 2deg","Pasted below"},0),Tables!$C$5:$C$85,Tables!$F$5:$F$85,Tables!$I$5:$I$85,Inputs!$D$9:$D$89),56)+$C$14*INDEX(CHOOSE(MATCH(Inputs!$C$4,{"CIE 1931 2deg","CIE 1964 10deg","CIE 2015 2deg","Pasted below"},0),Tables!$D$5:$D$85,Tables!$G$5:$G$85,Tables!$J$5:$J$85,Inputs!$E$9:$E$89),56)</f>
        <v/>
      </c>
      <c r="K60" s="4">
        <f>$A$15*INDEX(CHOOSE(MATCH(Inputs!$C$4,{"CIE 1931 2deg","CIE 1964 10deg","CIE 2015 2deg","Pasted below"},0),Tables!$B$5:$B$85,Tables!$E$5:$E$85,Tables!$H$5:$H$85,Inputs!$C$9:$C$89),56)+$B$15*INDEX(CHOOSE(MATCH(Inputs!$C$4,{"CIE 1931 2deg","CIE 1964 10deg","CIE 2015 2deg","Pasted below"},0),Tables!$C$5:$C$85,Tables!$F$5:$F$85,Tables!$I$5:$I$85,Inputs!$D$9:$D$89),56)+$C$15*INDEX(CHOOSE(MATCH(Inputs!$C$4,{"CIE 1931 2deg","CIE 1964 10deg","CIE 2015 2deg","Pasted below"},0),Tables!$D$5:$D$85,Tables!$G$5:$G$85,Tables!$J$5:$J$85,Inputs!$E$9:$E$89),56)</f>
        <v/>
      </c>
      <c r="L60" s="4">
        <f>$A$16*INDEX(CHOOSE(MATCH(Inputs!$C$4,{"CIE 1931 2deg","CIE 1964 10deg","CIE 2015 2deg","Pasted below"},0),Tables!$B$5:$B$85,Tables!$E$5:$E$85,Tables!$H$5:$H$85,Inputs!$C$9:$C$89),56)+$B$16*INDEX(CHOOSE(MATCH(Inputs!$C$4,{"CIE 1931 2deg","CIE 1964 10deg","CIE 2015 2deg","Pasted below"},0),Tables!$C$5:$C$85,Tables!$F$5:$F$85,Tables!$I$5:$I$85,Inputs!$D$9:$D$89),56)+$C$16*INDEX(CHOOSE(MATCH(Inputs!$C$4,{"CIE 1931 2deg","CIE 1964 10deg","CIE 2015 2deg","Pasted below"},0),Tables!$D$5:$D$85,Tables!$G$5:$G$85,Tables!$J$5:$J$85,Inputs!$E$9:$E$89),56)</f>
        <v/>
      </c>
    </row>
    <row r="61">
      <c r="I61" t="n">
        <v>660</v>
      </c>
      <c r="J61" s="4">
        <f>$A$14*INDEX(CHOOSE(MATCH(Inputs!$C$4,{"CIE 1931 2deg","CIE 1964 10deg","CIE 2015 2deg","Pasted below"},0),Tables!$B$5:$B$85,Tables!$E$5:$E$85,Tables!$H$5:$H$85,Inputs!$C$9:$C$89),57)+$B$14*INDEX(CHOOSE(MATCH(Inputs!$C$4,{"CIE 1931 2deg","CIE 1964 10deg","CIE 2015 2deg","Pasted below"},0),Tables!$C$5:$C$85,Tables!$F$5:$F$85,Tables!$I$5:$I$85,Inputs!$D$9:$D$89),57)+$C$14*INDEX(CHOOSE(MATCH(Inputs!$C$4,{"CIE 1931 2deg","CIE 1964 10deg","CIE 2015 2deg","Pasted below"},0),Tables!$D$5:$D$85,Tables!$G$5:$G$85,Tables!$J$5:$J$85,Inputs!$E$9:$E$89),57)</f>
        <v/>
      </c>
      <c r="K61" s="4">
        <f>$A$15*INDEX(CHOOSE(MATCH(Inputs!$C$4,{"CIE 1931 2deg","CIE 1964 10deg","CIE 2015 2deg","Pasted below"},0),Tables!$B$5:$B$85,Tables!$E$5:$E$85,Tables!$H$5:$H$85,Inputs!$C$9:$C$89),57)+$B$15*INDEX(CHOOSE(MATCH(Inputs!$C$4,{"CIE 1931 2deg","CIE 1964 10deg","CIE 2015 2deg","Pasted below"},0),Tables!$C$5:$C$85,Tables!$F$5:$F$85,Tables!$I$5:$I$85,Inputs!$D$9:$D$89),57)+$C$15*INDEX(CHOOSE(MATCH(Inputs!$C$4,{"CIE 1931 2deg","CIE 1964 10deg","CIE 2015 2deg","Pasted below"},0),Tables!$D$5:$D$85,Tables!$G$5:$G$85,Tables!$J$5:$J$85,Inputs!$E$9:$E$89),57)</f>
        <v/>
      </c>
      <c r="L61" s="4">
        <f>$A$16*INDEX(CHOOSE(MATCH(Inputs!$C$4,{"CIE 1931 2deg","CIE 1964 10deg","CIE 2015 2deg","Pasted below"},0),Tables!$B$5:$B$85,Tables!$E$5:$E$85,Tables!$H$5:$H$85,Inputs!$C$9:$C$89),57)+$B$16*INDEX(CHOOSE(MATCH(Inputs!$C$4,{"CIE 1931 2deg","CIE 1964 10deg","CIE 2015 2deg","Pasted below"},0),Tables!$C$5:$C$85,Tables!$F$5:$F$85,Tables!$I$5:$I$85,Inputs!$D$9:$D$89),57)+$C$16*INDEX(CHOOSE(MATCH(Inputs!$C$4,{"CIE 1931 2deg","CIE 1964 10deg","CIE 2015 2deg","Pasted below"},0),Tables!$D$5:$D$85,Tables!$G$5:$G$85,Tables!$J$5:$J$85,Inputs!$E$9:$E$89),57)</f>
        <v/>
      </c>
    </row>
    <row r="62">
      <c r="I62" t="n">
        <v>665</v>
      </c>
      <c r="J62" s="4">
        <f>$A$14*INDEX(CHOOSE(MATCH(Inputs!$C$4,{"CIE 1931 2deg","CIE 1964 10deg","CIE 2015 2deg","Pasted below"},0),Tables!$B$5:$B$85,Tables!$E$5:$E$85,Tables!$H$5:$H$85,Inputs!$C$9:$C$89),58)+$B$14*INDEX(CHOOSE(MATCH(Inputs!$C$4,{"CIE 1931 2deg","CIE 1964 10deg","CIE 2015 2deg","Pasted below"},0),Tables!$C$5:$C$85,Tables!$F$5:$F$85,Tables!$I$5:$I$85,Inputs!$D$9:$D$89),58)+$C$14*INDEX(CHOOSE(MATCH(Inputs!$C$4,{"CIE 1931 2deg","CIE 1964 10deg","CIE 2015 2deg","Pasted below"},0),Tables!$D$5:$D$85,Tables!$G$5:$G$85,Tables!$J$5:$J$85,Inputs!$E$9:$E$89),58)</f>
        <v/>
      </c>
      <c r="K62" s="4">
        <f>$A$15*INDEX(CHOOSE(MATCH(Inputs!$C$4,{"CIE 1931 2deg","CIE 1964 10deg","CIE 2015 2deg","Pasted below"},0),Tables!$B$5:$B$85,Tables!$E$5:$E$85,Tables!$H$5:$H$85,Inputs!$C$9:$C$89),58)+$B$15*INDEX(CHOOSE(MATCH(Inputs!$C$4,{"CIE 1931 2deg","CIE 1964 10deg","CIE 2015 2deg","Pasted below"},0),Tables!$C$5:$C$85,Tables!$F$5:$F$85,Tables!$I$5:$I$85,Inputs!$D$9:$D$89),58)+$C$15*INDEX(CHOOSE(MATCH(Inputs!$C$4,{"CIE 1931 2deg","CIE 1964 10deg","CIE 2015 2deg","Pasted below"},0),Tables!$D$5:$D$85,Tables!$G$5:$G$85,Tables!$J$5:$J$85,Inputs!$E$9:$E$89),58)</f>
        <v/>
      </c>
      <c r="L62" s="4">
        <f>$A$16*INDEX(CHOOSE(MATCH(Inputs!$C$4,{"CIE 1931 2deg","CIE 1964 10deg","CIE 2015 2deg","Pasted below"},0),Tables!$B$5:$B$85,Tables!$E$5:$E$85,Tables!$H$5:$H$85,Inputs!$C$9:$C$89),58)+$B$16*INDEX(CHOOSE(MATCH(Inputs!$C$4,{"CIE 1931 2deg","CIE 1964 10deg","CIE 2015 2deg","Pasted below"},0),Tables!$C$5:$C$85,Tables!$F$5:$F$85,Tables!$I$5:$I$85,Inputs!$D$9:$D$89),58)+$C$16*INDEX(CHOOSE(MATCH(Inputs!$C$4,{"CIE 1931 2deg","CIE 1964 10deg","CIE 2015 2deg","Pasted below"},0),Tables!$D$5:$D$85,Tables!$G$5:$G$85,Tables!$J$5:$J$85,Inputs!$E$9:$E$89),58)</f>
        <v/>
      </c>
    </row>
    <row r="63">
      <c r="I63" t="n">
        <v>670</v>
      </c>
      <c r="J63" s="4">
        <f>$A$14*INDEX(CHOOSE(MATCH(Inputs!$C$4,{"CIE 1931 2deg","CIE 1964 10deg","CIE 2015 2deg","Pasted below"},0),Tables!$B$5:$B$85,Tables!$E$5:$E$85,Tables!$H$5:$H$85,Inputs!$C$9:$C$89),59)+$B$14*INDEX(CHOOSE(MATCH(Inputs!$C$4,{"CIE 1931 2deg","CIE 1964 10deg","CIE 2015 2deg","Pasted below"},0),Tables!$C$5:$C$85,Tables!$F$5:$F$85,Tables!$I$5:$I$85,Inputs!$D$9:$D$89),59)+$C$14*INDEX(CHOOSE(MATCH(Inputs!$C$4,{"CIE 1931 2deg","CIE 1964 10deg","CIE 2015 2deg","Pasted below"},0),Tables!$D$5:$D$85,Tables!$G$5:$G$85,Tables!$J$5:$J$85,Inputs!$E$9:$E$89),59)</f>
        <v/>
      </c>
      <c r="K63" s="4">
        <f>$A$15*INDEX(CHOOSE(MATCH(Inputs!$C$4,{"CIE 1931 2deg","CIE 1964 10deg","CIE 2015 2deg","Pasted below"},0),Tables!$B$5:$B$85,Tables!$E$5:$E$85,Tables!$H$5:$H$85,Inputs!$C$9:$C$89),59)+$B$15*INDEX(CHOOSE(MATCH(Inputs!$C$4,{"CIE 1931 2deg","CIE 1964 10deg","CIE 2015 2deg","Pasted below"},0),Tables!$C$5:$C$85,Tables!$F$5:$F$85,Tables!$I$5:$I$85,Inputs!$D$9:$D$89),59)+$C$15*INDEX(CHOOSE(MATCH(Inputs!$C$4,{"CIE 1931 2deg","CIE 1964 10deg","CIE 2015 2deg","Pasted below"},0),Tables!$D$5:$D$85,Tables!$G$5:$G$85,Tables!$J$5:$J$85,Inputs!$E$9:$E$89),59)</f>
        <v/>
      </c>
      <c r="L63" s="4">
        <f>$A$16*INDEX(CHOOSE(MATCH(Inputs!$C$4,{"CIE 1931 2deg","CIE 1964 10deg","CIE 2015 2deg","Pasted below"},0),Tables!$B$5:$B$85,Tables!$E$5:$E$85,Tables!$H$5:$H$85,Inputs!$C$9:$C$89),59)+$B$16*INDEX(CHOOSE(MATCH(Inputs!$C$4,{"CIE 1931 2deg","CIE 1964 10deg","CIE 2015 2deg","Pasted below"},0),Tables!$C$5:$C$85,Tables!$F$5:$F$85,Tables!$I$5:$I$85,Inputs!$D$9:$D$89),59)+$C$16*INDEX(CHOOSE(MATCH(Inputs!$C$4,{"CIE 1931 2deg","CIE 1964 10deg","CIE 2015 2deg","Pasted below"},0),Tables!$D$5:$D$85,Tables!$G$5:$G$85,Tables!$J$5:$J$85,Inputs!$E$9:$E$89),59)</f>
        <v/>
      </c>
    </row>
    <row r="64">
      <c r="I64" t="n">
        <v>675</v>
      </c>
      <c r="J64" s="4">
        <f>$A$14*INDEX(CHOOSE(MATCH(Inputs!$C$4,{"CIE 1931 2deg","CIE 1964 10deg","CIE 2015 2deg","Pasted below"},0),Tables!$B$5:$B$85,Tables!$E$5:$E$85,Tables!$H$5:$H$85,Inputs!$C$9:$C$89),60)+$B$14*INDEX(CHOOSE(MATCH(Inputs!$C$4,{"CIE 1931 2deg","CIE 1964 10deg","CIE 2015 2deg","Pasted below"},0),Tables!$C$5:$C$85,Tables!$F$5:$F$85,Tables!$I$5:$I$85,Inputs!$D$9:$D$89),60)+$C$14*INDEX(CHOOSE(MATCH(Inputs!$C$4,{"CIE 1931 2deg","CIE 1964 10deg","CIE 2015 2deg","Pasted below"},0),Tables!$D$5:$D$85,Tables!$G$5:$G$85,Tables!$J$5:$J$85,Inputs!$E$9:$E$89),60)</f>
        <v/>
      </c>
      <c r="K64" s="4">
        <f>$A$15*INDEX(CHOOSE(MATCH(Inputs!$C$4,{"CIE 1931 2deg","CIE 1964 10deg","CIE 2015 2deg","Pasted below"},0),Tables!$B$5:$B$85,Tables!$E$5:$E$85,Tables!$H$5:$H$85,Inputs!$C$9:$C$89),60)+$B$15*INDEX(CHOOSE(MATCH(Inputs!$C$4,{"CIE 1931 2deg","CIE 1964 10deg","CIE 2015 2deg","Pasted below"},0),Tables!$C$5:$C$85,Tables!$F$5:$F$85,Tables!$I$5:$I$85,Inputs!$D$9:$D$89),60)+$C$15*INDEX(CHOOSE(MATCH(Inputs!$C$4,{"CIE 1931 2deg","CIE 1964 10deg","CIE 2015 2deg","Pasted below"},0),Tables!$D$5:$D$85,Tables!$G$5:$G$85,Tables!$J$5:$J$85,Inputs!$E$9:$E$89),60)</f>
        <v/>
      </c>
      <c r="L64" s="4">
        <f>$A$16*INDEX(CHOOSE(MATCH(Inputs!$C$4,{"CIE 1931 2deg","CIE 1964 10deg","CIE 2015 2deg","Pasted below"},0),Tables!$B$5:$B$85,Tables!$E$5:$E$85,Tables!$H$5:$H$85,Inputs!$C$9:$C$89),60)+$B$16*INDEX(CHOOSE(MATCH(Inputs!$C$4,{"CIE 1931 2deg","CIE 1964 10deg","CIE 2015 2deg","Pasted below"},0),Tables!$C$5:$C$85,Tables!$F$5:$F$85,Tables!$I$5:$I$85,Inputs!$D$9:$D$89),60)+$C$16*INDEX(CHOOSE(MATCH(Inputs!$C$4,{"CIE 1931 2deg","CIE 1964 10deg","CIE 2015 2deg","Pasted below"},0),Tables!$D$5:$D$85,Tables!$G$5:$G$85,Tables!$J$5:$J$85,Inputs!$E$9:$E$89),60)</f>
        <v/>
      </c>
    </row>
    <row r="65">
      <c r="I65" t="n">
        <v>680</v>
      </c>
      <c r="J65" s="4">
        <f>$A$14*INDEX(CHOOSE(MATCH(Inputs!$C$4,{"CIE 1931 2deg","CIE 1964 10deg","CIE 2015 2deg","Pasted below"},0),Tables!$B$5:$B$85,Tables!$E$5:$E$85,Tables!$H$5:$H$85,Inputs!$C$9:$C$89),61)+$B$14*INDEX(CHOOSE(MATCH(Inputs!$C$4,{"CIE 1931 2deg","CIE 1964 10deg","CIE 2015 2deg","Pasted below"},0),Tables!$C$5:$C$85,Tables!$F$5:$F$85,Tables!$I$5:$I$85,Inputs!$D$9:$D$89),61)+$C$14*INDEX(CHOOSE(MATCH(Inputs!$C$4,{"CIE 1931 2deg","CIE 1964 10deg","CIE 2015 2deg","Pasted below"},0),Tables!$D$5:$D$85,Tables!$G$5:$G$85,Tables!$J$5:$J$85,Inputs!$E$9:$E$89),61)</f>
        <v/>
      </c>
      <c r="K65" s="4">
        <f>$A$15*INDEX(CHOOSE(MATCH(Inputs!$C$4,{"CIE 1931 2deg","CIE 1964 10deg","CIE 2015 2deg","Pasted below"},0),Tables!$B$5:$B$85,Tables!$E$5:$E$85,Tables!$H$5:$H$85,Inputs!$C$9:$C$89),61)+$B$15*INDEX(CHOOSE(MATCH(Inputs!$C$4,{"CIE 1931 2deg","CIE 1964 10deg","CIE 2015 2deg","Pasted below"},0),Tables!$C$5:$C$85,Tables!$F$5:$F$85,Tables!$I$5:$I$85,Inputs!$D$9:$D$89),61)+$C$15*INDEX(CHOOSE(MATCH(Inputs!$C$4,{"CIE 1931 2deg","CIE 1964 10deg","CIE 2015 2deg","Pasted below"},0),Tables!$D$5:$D$85,Tables!$G$5:$G$85,Tables!$J$5:$J$85,Inputs!$E$9:$E$89),61)</f>
        <v/>
      </c>
      <c r="L65" s="4">
        <f>$A$16*INDEX(CHOOSE(MATCH(Inputs!$C$4,{"CIE 1931 2deg","CIE 1964 10deg","CIE 2015 2deg","Pasted below"},0),Tables!$B$5:$B$85,Tables!$E$5:$E$85,Tables!$H$5:$H$85,Inputs!$C$9:$C$89),61)+$B$16*INDEX(CHOOSE(MATCH(Inputs!$C$4,{"CIE 1931 2deg","CIE 1964 10deg","CIE 2015 2deg","Pasted below"},0),Tables!$C$5:$C$85,Tables!$F$5:$F$85,Tables!$I$5:$I$85,Inputs!$D$9:$D$89),61)+$C$16*INDEX(CHOOSE(MATCH(Inputs!$C$4,{"CIE 1931 2deg","CIE 1964 10deg","CIE 2015 2deg","Pasted below"},0),Tables!$D$5:$D$85,Tables!$G$5:$G$85,Tables!$J$5:$J$85,Inputs!$E$9:$E$89),61)</f>
        <v/>
      </c>
    </row>
    <row r="66">
      <c r="I66" t="n">
        <v>685</v>
      </c>
      <c r="J66" s="4">
        <f>$A$14*INDEX(CHOOSE(MATCH(Inputs!$C$4,{"CIE 1931 2deg","CIE 1964 10deg","CIE 2015 2deg","Pasted below"},0),Tables!$B$5:$B$85,Tables!$E$5:$E$85,Tables!$H$5:$H$85,Inputs!$C$9:$C$89),62)+$B$14*INDEX(CHOOSE(MATCH(Inputs!$C$4,{"CIE 1931 2deg","CIE 1964 10deg","CIE 2015 2deg","Pasted below"},0),Tables!$C$5:$C$85,Tables!$F$5:$F$85,Tables!$I$5:$I$85,Inputs!$D$9:$D$89),62)+$C$14*INDEX(CHOOSE(MATCH(Inputs!$C$4,{"CIE 1931 2deg","CIE 1964 10deg","CIE 2015 2deg","Pasted below"},0),Tables!$D$5:$D$85,Tables!$G$5:$G$85,Tables!$J$5:$J$85,Inputs!$E$9:$E$89),62)</f>
        <v/>
      </c>
      <c r="K66" s="4">
        <f>$A$15*INDEX(CHOOSE(MATCH(Inputs!$C$4,{"CIE 1931 2deg","CIE 1964 10deg","CIE 2015 2deg","Pasted below"},0),Tables!$B$5:$B$85,Tables!$E$5:$E$85,Tables!$H$5:$H$85,Inputs!$C$9:$C$89),62)+$B$15*INDEX(CHOOSE(MATCH(Inputs!$C$4,{"CIE 1931 2deg","CIE 1964 10deg","CIE 2015 2deg","Pasted below"},0),Tables!$C$5:$C$85,Tables!$F$5:$F$85,Tables!$I$5:$I$85,Inputs!$D$9:$D$89),62)+$C$15*INDEX(CHOOSE(MATCH(Inputs!$C$4,{"CIE 1931 2deg","CIE 1964 10deg","CIE 2015 2deg","Pasted below"},0),Tables!$D$5:$D$85,Tables!$G$5:$G$85,Tables!$J$5:$J$85,Inputs!$E$9:$E$89),62)</f>
        <v/>
      </c>
      <c r="L66" s="4">
        <f>$A$16*INDEX(CHOOSE(MATCH(Inputs!$C$4,{"CIE 1931 2deg","CIE 1964 10deg","CIE 2015 2deg","Pasted below"},0),Tables!$B$5:$B$85,Tables!$E$5:$E$85,Tables!$H$5:$H$85,Inputs!$C$9:$C$89),62)+$B$16*INDEX(CHOOSE(MATCH(Inputs!$C$4,{"CIE 1931 2deg","CIE 1964 10deg","CIE 2015 2deg","Pasted below"},0),Tables!$C$5:$C$85,Tables!$F$5:$F$85,Tables!$I$5:$I$85,Inputs!$D$9:$D$89),62)+$C$16*INDEX(CHOOSE(MATCH(Inputs!$C$4,{"CIE 1931 2deg","CIE 1964 10deg","CIE 2015 2deg","Pasted below"},0),Tables!$D$5:$D$85,Tables!$G$5:$G$85,Tables!$J$5:$J$85,Inputs!$E$9:$E$89),62)</f>
        <v/>
      </c>
    </row>
    <row r="67">
      <c r="I67" t="n">
        <v>690</v>
      </c>
      <c r="J67" s="4">
        <f>$A$14*INDEX(CHOOSE(MATCH(Inputs!$C$4,{"CIE 1931 2deg","CIE 1964 10deg","CIE 2015 2deg","Pasted below"},0),Tables!$B$5:$B$85,Tables!$E$5:$E$85,Tables!$H$5:$H$85,Inputs!$C$9:$C$89),63)+$B$14*INDEX(CHOOSE(MATCH(Inputs!$C$4,{"CIE 1931 2deg","CIE 1964 10deg","CIE 2015 2deg","Pasted below"},0),Tables!$C$5:$C$85,Tables!$F$5:$F$85,Tables!$I$5:$I$85,Inputs!$D$9:$D$89),63)+$C$14*INDEX(CHOOSE(MATCH(Inputs!$C$4,{"CIE 1931 2deg","CIE 1964 10deg","CIE 2015 2deg","Pasted below"},0),Tables!$D$5:$D$85,Tables!$G$5:$G$85,Tables!$J$5:$J$85,Inputs!$E$9:$E$89),63)</f>
        <v/>
      </c>
      <c r="K67" s="4">
        <f>$A$15*INDEX(CHOOSE(MATCH(Inputs!$C$4,{"CIE 1931 2deg","CIE 1964 10deg","CIE 2015 2deg","Pasted below"},0),Tables!$B$5:$B$85,Tables!$E$5:$E$85,Tables!$H$5:$H$85,Inputs!$C$9:$C$89),63)+$B$15*INDEX(CHOOSE(MATCH(Inputs!$C$4,{"CIE 1931 2deg","CIE 1964 10deg","CIE 2015 2deg","Pasted below"},0),Tables!$C$5:$C$85,Tables!$F$5:$F$85,Tables!$I$5:$I$85,Inputs!$D$9:$D$89),63)+$C$15*INDEX(CHOOSE(MATCH(Inputs!$C$4,{"CIE 1931 2deg","CIE 1964 10deg","CIE 2015 2deg","Pasted below"},0),Tables!$D$5:$D$85,Tables!$G$5:$G$85,Tables!$J$5:$J$85,Inputs!$E$9:$E$89),63)</f>
        <v/>
      </c>
      <c r="L67" s="4">
        <f>$A$16*INDEX(CHOOSE(MATCH(Inputs!$C$4,{"CIE 1931 2deg","CIE 1964 10deg","CIE 2015 2deg","Pasted below"},0),Tables!$B$5:$B$85,Tables!$E$5:$E$85,Tables!$H$5:$H$85,Inputs!$C$9:$C$89),63)+$B$16*INDEX(CHOOSE(MATCH(Inputs!$C$4,{"CIE 1931 2deg","CIE 1964 10deg","CIE 2015 2deg","Pasted below"},0),Tables!$C$5:$C$85,Tables!$F$5:$F$85,Tables!$I$5:$I$85,Inputs!$D$9:$D$89),63)+$C$16*INDEX(CHOOSE(MATCH(Inputs!$C$4,{"CIE 1931 2deg","CIE 1964 10deg","CIE 2015 2deg","Pasted below"},0),Tables!$D$5:$D$85,Tables!$G$5:$G$85,Tables!$J$5:$J$85,Inputs!$E$9:$E$89),63)</f>
        <v/>
      </c>
    </row>
    <row r="68">
      <c r="I68" t="n">
        <v>695</v>
      </c>
      <c r="J68" s="4">
        <f>$A$14*INDEX(CHOOSE(MATCH(Inputs!$C$4,{"CIE 1931 2deg","CIE 1964 10deg","CIE 2015 2deg","Pasted below"},0),Tables!$B$5:$B$85,Tables!$E$5:$E$85,Tables!$H$5:$H$85,Inputs!$C$9:$C$89),64)+$B$14*INDEX(CHOOSE(MATCH(Inputs!$C$4,{"CIE 1931 2deg","CIE 1964 10deg","CIE 2015 2deg","Pasted below"},0),Tables!$C$5:$C$85,Tables!$F$5:$F$85,Tables!$I$5:$I$85,Inputs!$D$9:$D$89),64)+$C$14*INDEX(CHOOSE(MATCH(Inputs!$C$4,{"CIE 1931 2deg","CIE 1964 10deg","CIE 2015 2deg","Pasted below"},0),Tables!$D$5:$D$85,Tables!$G$5:$G$85,Tables!$J$5:$J$85,Inputs!$E$9:$E$89),64)</f>
        <v/>
      </c>
      <c r="K68" s="4">
        <f>$A$15*INDEX(CHOOSE(MATCH(Inputs!$C$4,{"CIE 1931 2deg","CIE 1964 10deg","CIE 2015 2deg","Pasted below"},0),Tables!$B$5:$B$85,Tables!$E$5:$E$85,Tables!$H$5:$H$85,Inputs!$C$9:$C$89),64)+$B$15*INDEX(CHOOSE(MATCH(Inputs!$C$4,{"CIE 1931 2deg","CIE 1964 10deg","CIE 2015 2deg","Pasted below"},0),Tables!$C$5:$C$85,Tables!$F$5:$F$85,Tables!$I$5:$I$85,Inputs!$D$9:$D$89),64)+$C$15*INDEX(CHOOSE(MATCH(Inputs!$C$4,{"CIE 1931 2deg","CIE 1964 10deg","CIE 2015 2deg","Pasted below"},0),Tables!$D$5:$D$85,Tables!$G$5:$G$85,Tables!$J$5:$J$85,Inputs!$E$9:$E$89),64)</f>
        <v/>
      </c>
      <c r="L68" s="4">
        <f>$A$16*INDEX(CHOOSE(MATCH(Inputs!$C$4,{"CIE 1931 2deg","CIE 1964 10deg","CIE 2015 2deg","Pasted below"},0),Tables!$B$5:$B$85,Tables!$E$5:$E$85,Tables!$H$5:$H$85,Inputs!$C$9:$C$89),64)+$B$16*INDEX(CHOOSE(MATCH(Inputs!$C$4,{"CIE 1931 2deg","CIE 1964 10deg","CIE 2015 2deg","Pasted below"},0),Tables!$C$5:$C$85,Tables!$F$5:$F$85,Tables!$I$5:$I$85,Inputs!$D$9:$D$89),64)+$C$16*INDEX(CHOOSE(MATCH(Inputs!$C$4,{"CIE 1931 2deg","CIE 1964 10deg","CIE 2015 2deg","Pasted below"},0),Tables!$D$5:$D$85,Tables!$G$5:$G$85,Tables!$J$5:$J$85,Inputs!$E$9:$E$89),64)</f>
        <v/>
      </c>
    </row>
    <row r="69">
      <c r="I69" t="n">
        <v>700</v>
      </c>
      <c r="J69" s="4">
        <f>$A$14*INDEX(CHOOSE(MATCH(Inputs!$C$4,{"CIE 1931 2deg","CIE 1964 10deg","CIE 2015 2deg","Pasted below"},0),Tables!$B$5:$B$85,Tables!$E$5:$E$85,Tables!$H$5:$H$85,Inputs!$C$9:$C$89),65)+$B$14*INDEX(CHOOSE(MATCH(Inputs!$C$4,{"CIE 1931 2deg","CIE 1964 10deg","CIE 2015 2deg","Pasted below"},0),Tables!$C$5:$C$85,Tables!$F$5:$F$85,Tables!$I$5:$I$85,Inputs!$D$9:$D$89),65)+$C$14*INDEX(CHOOSE(MATCH(Inputs!$C$4,{"CIE 1931 2deg","CIE 1964 10deg","CIE 2015 2deg","Pasted below"},0),Tables!$D$5:$D$85,Tables!$G$5:$G$85,Tables!$J$5:$J$85,Inputs!$E$9:$E$89),65)</f>
        <v/>
      </c>
      <c r="K69" s="4">
        <f>$A$15*INDEX(CHOOSE(MATCH(Inputs!$C$4,{"CIE 1931 2deg","CIE 1964 10deg","CIE 2015 2deg","Pasted below"},0),Tables!$B$5:$B$85,Tables!$E$5:$E$85,Tables!$H$5:$H$85,Inputs!$C$9:$C$89),65)+$B$15*INDEX(CHOOSE(MATCH(Inputs!$C$4,{"CIE 1931 2deg","CIE 1964 10deg","CIE 2015 2deg","Pasted below"},0),Tables!$C$5:$C$85,Tables!$F$5:$F$85,Tables!$I$5:$I$85,Inputs!$D$9:$D$89),65)+$C$15*INDEX(CHOOSE(MATCH(Inputs!$C$4,{"CIE 1931 2deg","CIE 1964 10deg","CIE 2015 2deg","Pasted below"},0),Tables!$D$5:$D$85,Tables!$G$5:$G$85,Tables!$J$5:$J$85,Inputs!$E$9:$E$89),65)</f>
        <v/>
      </c>
      <c r="L69" s="4">
        <f>$A$16*INDEX(CHOOSE(MATCH(Inputs!$C$4,{"CIE 1931 2deg","CIE 1964 10deg","CIE 2015 2deg","Pasted below"},0),Tables!$B$5:$B$85,Tables!$E$5:$E$85,Tables!$H$5:$H$85,Inputs!$C$9:$C$89),65)+$B$16*INDEX(CHOOSE(MATCH(Inputs!$C$4,{"CIE 1931 2deg","CIE 1964 10deg","CIE 2015 2deg","Pasted below"},0),Tables!$C$5:$C$85,Tables!$F$5:$F$85,Tables!$I$5:$I$85,Inputs!$D$9:$D$89),65)+$C$16*INDEX(CHOOSE(MATCH(Inputs!$C$4,{"CIE 1931 2deg","CIE 1964 10deg","CIE 2015 2deg","Pasted below"},0),Tables!$D$5:$D$85,Tables!$G$5:$G$85,Tables!$J$5:$J$85,Inputs!$E$9:$E$89),65)</f>
        <v/>
      </c>
    </row>
    <row r="70">
      <c r="I70" t="n">
        <v>705</v>
      </c>
      <c r="J70" s="4">
        <f>$A$14*INDEX(CHOOSE(MATCH(Inputs!$C$4,{"CIE 1931 2deg","CIE 1964 10deg","CIE 2015 2deg","Pasted below"},0),Tables!$B$5:$B$85,Tables!$E$5:$E$85,Tables!$H$5:$H$85,Inputs!$C$9:$C$89),66)+$B$14*INDEX(CHOOSE(MATCH(Inputs!$C$4,{"CIE 1931 2deg","CIE 1964 10deg","CIE 2015 2deg","Pasted below"},0),Tables!$C$5:$C$85,Tables!$F$5:$F$85,Tables!$I$5:$I$85,Inputs!$D$9:$D$89),66)+$C$14*INDEX(CHOOSE(MATCH(Inputs!$C$4,{"CIE 1931 2deg","CIE 1964 10deg","CIE 2015 2deg","Pasted below"},0),Tables!$D$5:$D$85,Tables!$G$5:$G$85,Tables!$J$5:$J$85,Inputs!$E$9:$E$89),66)</f>
        <v/>
      </c>
      <c r="K70" s="4">
        <f>$A$15*INDEX(CHOOSE(MATCH(Inputs!$C$4,{"CIE 1931 2deg","CIE 1964 10deg","CIE 2015 2deg","Pasted below"},0),Tables!$B$5:$B$85,Tables!$E$5:$E$85,Tables!$H$5:$H$85,Inputs!$C$9:$C$89),66)+$B$15*INDEX(CHOOSE(MATCH(Inputs!$C$4,{"CIE 1931 2deg","CIE 1964 10deg","CIE 2015 2deg","Pasted below"},0),Tables!$C$5:$C$85,Tables!$F$5:$F$85,Tables!$I$5:$I$85,Inputs!$D$9:$D$89),66)+$C$15*INDEX(CHOOSE(MATCH(Inputs!$C$4,{"CIE 1931 2deg","CIE 1964 10deg","CIE 2015 2deg","Pasted below"},0),Tables!$D$5:$D$85,Tables!$G$5:$G$85,Tables!$J$5:$J$85,Inputs!$E$9:$E$89),66)</f>
        <v/>
      </c>
      <c r="L70" s="4">
        <f>$A$16*INDEX(CHOOSE(MATCH(Inputs!$C$4,{"CIE 1931 2deg","CIE 1964 10deg","CIE 2015 2deg","Pasted below"},0),Tables!$B$5:$B$85,Tables!$E$5:$E$85,Tables!$H$5:$H$85,Inputs!$C$9:$C$89),66)+$B$16*INDEX(CHOOSE(MATCH(Inputs!$C$4,{"CIE 1931 2deg","CIE 1964 10deg","CIE 2015 2deg","Pasted below"},0),Tables!$C$5:$C$85,Tables!$F$5:$F$85,Tables!$I$5:$I$85,Inputs!$D$9:$D$89),66)+$C$16*INDEX(CHOOSE(MATCH(Inputs!$C$4,{"CIE 1931 2deg","CIE 1964 10deg","CIE 2015 2deg","Pasted below"},0),Tables!$D$5:$D$85,Tables!$G$5:$G$85,Tables!$J$5:$J$85,Inputs!$E$9:$E$89),66)</f>
        <v/>
      </c>
    </row>
    <row r="71">
      <c r="I71" t="n">
        <v>710</v>
      </c>
      <c r="J71" s="4">
        <f>$A$14*INDEX(CHOOSE(MATCH(Inputs!$C$4,{"CIE 1931 2deg","CIE 1964 10deg","CIE 2015 2deg","Pasted below"},0),Tables!$B$5:$B$85,Tables!$E$5:$E$85,Tables!$H$5:$H$85,Inputs!$C$9:$C$89),67)+$B$14*INDEX(CHOOSE(MATCH(Inputs!$C$4,{"CIE 1931 2deg","CIE 1964 10deg","CIE 2015 2deg","Pasted below"},0),Tables!$C$5:$C$85,Tables!$F$5:$F$85,Tables!$I$5:$I$85,Inputs!$D$9:$D$89),67)+$C$14*INDEX(CHOOSE(MATCH(Inputs!$C$4,{"CIE 1931 2deg","CIE 1964 10deg","CIE 2015 2deg","Pasted below"},0),Tables!$D$5:$D$85,Tables!$G$5:$G$85,Tables!$J$5:$J$85,Inputs!$E$9:$E$89),67)</f>
        <v/>
      </c>
      <c r="K71" s="4">
        <f>$A$15*INDEX(CHOOSE(MATCH(Inputs!$C$4,{"CIE 1931 2deg","CIE 1964 10deg","CIE 2015 2deg","Pasted below"},0),Tables!$B$5:$B$85,Tables!$E$5:$E$85,Tables!$H$5:$H$85,Inputs!$C$9:$C$89),67)+$B$15*INDEX(CHOOSE(MATCH(Inputs!$C$4,{"CIE 1931 2deg","CIE 1964 10deg","CIE 2015 2deg","Pasted below"},0),Tables!$C$5:$C$85,Tables!$F$5:$F$85,Tables!$I$5:$I$85,Inputs!$D$9:$D$89),67)+$C$15*INDEX(CHOOSE(MATCH(Inputs!$C$4,{"CIE 1931 2deg","CIE 1964 10deg","CIE 2015 2deg","Pasted below"},0),Tables!$D$5:$D$85,Tables!$G$5:$G$85,Tables!$J$5:$J$85,Inputs!$E$9:$E$89),67)</f>
        <v/>
      </c>
      <c r="L71" s="4">
        <f>$A$16*INDEX(CHOOSE(MATCH(Inputs!$C$4,{"CIE 1931 2deg","CIE 1964 10deg","CIE 2015 2deg","Pasted below"},0),Tables!$B$5:$B$85,Tables!$E$5:$E$85,Tables!$H$5:$H$85,Inputs!$C$9:$C$89),67)+$B$16*INDEX(CHOOSE(MATCH(Inputs!$C$4,{"CIE 1931 2deg","CIE 1964 10deg","CIE 2015 2deg","Pasted below"},0),Tables!$C$5:$C$85,Tables!$F$5:$F$85,Tables!$I$5:$I$85,Inputs!$D$9:$D$89),67)+$C$16*INDEX(CHOOSE(MATCH(Inputs!$C$4,{"CIE 1931 2deg","CIE 1964 10deg","CIE 2015 2deg","Pasted below"},0),Tables!$D$5:$D$85,Tables!$G$5:$G$85,Tables!$J$5:$J$85,Inputs!$E$9:$E$89),67)</f>
        <v/>
      </c>
    </row>
    <row r="72">
      <c r="I72" t="n">
        <v>715</v>
      </c>
      <c r="J72" s="4">
        <f>$A$14*INDEX(CHOOSE(MATCH(Inputs!$C$4,{"CIE 1931 2deg","CIE 1964 10deg","CIE 2015 2deg","Pasted below"},0),Tables!$B$5:$B$85,Tables!$E$5:$E$85,Tables!$H$5:$H$85,Inputs!$C$9:$C$89),68)+$B$14*INDEX(CHOOSE(MATCH(Inputs!$C$4,{"CIE 1931 2deg","CIE 1964 10deg","CIE 2015 2deg","Pasted below"},0),Tables!$C$5:$C$85,Tables!$F$5:$F$85,Tables!$I$5:$I$85,Inputs!$D$9:$D$89),68)+$C$14*INDEX(CHOOSE(MATCH(Inputs!$C$4,{"CIE 1931 2deg","CIE 1964 10deg","CIE 2015 2deg","Pasted below"},0),Tables!$D$5:$D$85,Tables!$G$5:$G$85,Tables!$J$5:$J$85,Inputs!$E$9:$E$89),68)</f>
        <v/>
      </c>
      <c r="K72" s="4">
        <f>$A$15*INDEX(CHOOSE(MATCH(Inputs!$C$4,{"CIE 1931 2deg","CIE 1964 10deg","CIE 2015 2deg","Pasted below"},0),Tables!$B$5:$B$85,Tables!$E$5:$E$85,Tables!$H$5:$H$85,Inputs!$C$9:$C$89),68)+$B$15*INDEX(CHOOSE(MATCH(Inputs!$C$4,{"CIE 1931 2deg","CIE 1964 10deg","CIE 2015 2deg","Pasted below"},0),Tables!$C$5:$C$85,Tables!$F$5:$F$85,Tables!$I$5:$I$85,Inputs!$D$9:$D$89),68)+$C$15*INDEX(CHOOSE(MATCH(Inputs!$C$4,{"CIE 1931 2deg","CIE 1964 10deg","CIE 2015 2deg","Pasted below"},0),Tables!$D$5:$D$85,Tables!$G$5:$G$85,Tables!$J$5:$J$85,Inputs!$E$9:$E$89),68)</f>
        <v/>
      </c>
      <c r="L72" s="4">
        <f>$A$16*INDEX(CHOOSE(MATCH(Inputs!$C$4,{"CIE 1931 2deg","CIE 1964 10deg","CIE 2015 2deg","Pasted below"},0),Tables!$B$5:$B$85,Tables!$E$5:$E$85,Tables!$H$5:$H$85,Inputs!$C$9:$C$89),68)+$B$16*INDEX(CHOOSE(MATCH(Inputs!$C$4,{"CIE 1931 2deg","CIE 1964 10deg","CIE 2015 2deg","Pasted below"},0),Tables!$C$5:$C$85,Tables!$F$5:$F$85,Tables!$I$5:$I$85,Inputs!$D$9:$D$89),68)+$C$16*INDEX(CHOOSE(MATCH(Inputs!$C$4,{"CIE 1931 2deg","CIE 1964 10deg","CIE 2015 2deg","Pasted below"},0),Tables!$D$5:$D$85,Tables!$G$5:$G$85,Tables!$J$5:$J$85,Inputs!$E$9:$E$89),68)</f>
        <v/>
      </c>
    </row>
    <row r="73">
      <c r="I73" t="n">
        <v>720</v>
      </c>
      <c r="J73" s="4">
        <f>$A$14*INDEX(CHOOSE(MATCH(Inputs!$C$4,{"CIE 1931 2deg","CIE 1964 10deg","CIE 2015 2deg","Pasted below"},0),Tables!$B$5:$B$85,Tables!$E$5:$E$85,Tables!$H$5:$H$85,Inputs!$C$9:$C$89),69)+$B$14*INDEX(CHOOSE(MATCH(Inputs!$C$4,{"CIE 1931 2deg","CIE 1964 10deg","CIE 2015 2deg","Pasted below"},0),Tables!$C$5:$C$85,Tables!$F$5:$F$85,Tables!$I$5:$I$85,Inputs!$D$9:$D$89),69)+$C$14*INDEX(CHOOSE(MATCH(Inputs!$C$4,{"CIE 1931 2deg","CIE 1964 10deg","CIE 2015 2deg","Pasted below"},0),Tables!$D$5:$D$85,Tables!$G$5:$G$85,Tables!$J$5:$J$85,Inputs!$E$9:$E$89),69)</f>
        <v/>
      </c>
      <c r="K73" s="4">
        <f>$A$15*INDEX(CHOOSE(MATCH(Inputs!$C$4,{"CIE 1931 2deg","CIE 1964 10deg","CIE 2015 2deg","Pasted below"},0),Tables!$B$5:$B$85,Tables!$E$5:$E$85,Tables!$H$5:$H$85,Inputs!$C$9:$C$89),69)+$B$15*INDEX(CHOOSE(MATCH(Inputs!$C$4,{"CIE 1931 2deg","CIE 1964 10deg","CIE 2015 2deg","Pasted below"},0),Tables!$C$5:$C$85,Tables!$F$5:$F$85,Tables!$I$5:$I$85,Inputs!$D$9:$D$89),69)+$C$15*INDEX(CHOOSE(MATCH(Inputs!$C$4,{"CIE 1931 2deg","CIE 1964 10deg","CIE 2015 2deg","Pasted below"},0),Tables!$D$5:$D$85,Tables!$G$5:$G$85,Tables!$J$5:$J$85,Inputs!$E$9:$E$89),69)</f>
        <v/>
      </c>
      <c r="L73" s="4">
        <f>$A$16*INDEX(CHOOSE(MATCH(Inputs!$C$4,{"CIE 1931 2deg","CIE 1964 10deg","CIE 2015 2deg","Pasted below"},0),Tables!$B$5:$B$85,Tables!$E$5:$E$85,Tables!$H$5:$H$85,Inputs!$C$9:$C$89),69)+$B$16*INDEX(CHOOSE(MATCH(Inputs!$C$4,{"CIE 1931 2deg","CIE 1964 10deg","CIE 2015 2deg","Pasted below"},0),Tables!$C$5:$C$85,Tables!$F$5:$F$85,Tables!$I$5:$I$85,Inputs!$D$9:$D$89),69)+$C$16*INDEX(CHOOSE(MATCH(Inputs!$C$4,{"CIE 1931 2deg","CIE 1964 10deg","CIE 2015 2deg","Pasted below"},0),Tables!$D$5:$D$85,Tables!$G$5:$G$85,Tables!$J$5:$J$85,Inputs!$E$9:$E$89),69)</f>
        <v/>
      </c>
    </row>
    <row r="74">
      <c r="I74" t="n">
        <v>725</v>
      </c>
      <c r="J74" s="4">
        <f>$A$14*INDEX(CHOOSE(MATCH(Inputs!$C$4,{"CIE 1931 2deg","CIE 1964 10deg","CIE 2015 2deg","Pasted below"},0),Tables!$B$5:$B$85,Tables!$E$5:$E$85,Tables!$H$5:$H$85,Inputs!$C$9:$C$89),70)+$B$14*INDEX(CHOOSE(MATCH(Inputs!$C$4,{"CIE 1931 2deg","CIE 1964 10deg","CIE 2015 2deg","Pasted below"},0),Tables!$C$5:$C$85,Tables!$F$5:$F$85,Tables!$I$5:$I$85,Inputs!$D$9:$D$89),70)+$C$14*INDEX(CHOOSE(MATCH(Inputs!$C$4,{"CIE 1931 2deg","CIE 1964 10deg","CIE 2015 2deg","Pasted below"},0),Tables!$D$5:$D$85,Tables!$G$5:$G$85,Tables!$J$5:$J$85,Inputs!$E$9:$E$89),70)</f>
        <v/>
      </c>
      <c r="K74" s="4">
        <f>$A$15*INDEX(CHOOSE(MATCH(Inputs!$C$4,{"CIE 1931 2deg","CIE 1964 10deg","CIE 2015 2deg","Pasted below"},0),Tables!$B$5:$B$85,Tables!$E$5:$E$85,Tables!$H$5:$H$85,Inputs!$C$9:$C$89),70)+$B$15*INDEX(CHOOSE(MATCH(Inputs!$C$4,{"CIE 1931 2deg","CIE 1964 10deg","CIE 2015 2deg","Pasted below"},0),Tables!$C$5:$C$85,Tables!$F$5:$F$85,Tables!$I$5:$I$85,Inputs!$D$9:$D$89),70)+$C$15*INDEX(CHOOSE(MATCH(Inputs!$C$4,{"CIE 1931 2deg","CIE 1964 10deg","CIE 2015 2deg","Pasted below"},0),Tables!$D$5:$D$85,Tables!$G$5:$G$85,Tables!$J$5:$J$85,Inputs!$E$9:$E$89),70)</f>
        <v/>
      </c>
      <c r="L74" s="4">
        <f>$A$16*INDEX(CHOOSE(MATCH(Inputs!$C$4,{"CIE 1931 2deg","CIE 1964 10deg","CIE 2015 2deg","Pasted below"},0),Tables!$B$5:$B$85,Tables!$E$5:$E$85,Tables!$H$5:$H$85,Inputs!$C$9:$C$89),70)+$B$16*INDEX(CHOOSE(MATCH(Inputs!$C$4,{"CIE 1931 2deg","CIE 1964 10deg","CIE 2015 2deg","Pasted below"},0),Tables!$C$5:$C$85,Tables!$F$5:$F$85,Tables!$I$5:$I$85,Inputs!$D$9:$D$89),70)+$C$16*INDEX(CHOOSE(MATCH(Inputs!$C$4,{"CIE 1931 2deg","CIE 1964 10deg","CIE 2015 2deg","Pasted below"},0),Tables!$D$5:$D$85,Tables!$G$5:$G$85,Tables!$J$5:$J$85,Inputs!$E$9:$E$89),70)</f>
        <v/>
      </c>
    </row>
    <row r="75">
      <c r="I75" t="n">
        <v>730</v>
      </c>
      <c r="J75" s="4">
        <f>$A$14*INDEX(CHOOSE(MATCH(Inputs!$C$4,{"CIE 1931 2deg","CIE 1964 10deg","CIE 2015 2deg","Pasted below"},0),Tables!$B$5:$B$85,Tables!$E$5:$E$85,Tables!$H$5:$H$85,Inputs!$C$9:$C$89),71)+$B$14*INDEX(CHOOSE(MATCH(Inputs!$C$4,{"CIE 1931 2deg","CIE 1964 10deg","CIE 2015 2deg","Pasted below"},0),Tables!$C$5:$C$85,Tables!$F$5:$F$85,Tables!$I$5:$I$85,Inputs!$D$9:$D$89),71)+$C$14*INDEX(CHOOSE(MATCH(Inputs!$C$4,{"CIE 1931 2deg","CIE 1964 10deg","CIE 2015 2deg","Pasted below"},0),Tables!$D$5:$D$85,Tables!$G$5:$G$85,Tables!$J$5:$J$85,Inputs!$E$9:$E$89),71)</f>
        <v/>
      </c>
      <c r="K75" s="4">
        <f>$A$15*INDEX(CHOOSE(MATCH(Inputs!$C$4,{"CIE 1931 2deg","CIE 1964 10deg","CIE 2015 2deg","Pasted below"},0),Tables!$B$5:$B$85,Tables!$E$5:$E$85,Tables!$H$5:$H$85,Inputs!$C$9:$C$89),71)+$B$15*INDEX(CHOOSE(MATCH(Inputs!$C$4,{"CIE 1931 2deg","CIE 1964 10deg","CIE 2015 2deg","Pasted below"},0),Tables!$C$5:$C$85,Tables!$F$5:$F$85,Tables!$I$5:$I$85,Inputs!$D$9:$D$89),71)+$C$15*INDEX(CHOOSE(MATCH(Inputs!$C$4,{"CIE 1931 2deg","CIE 1964 10deg","CIE 2015 2deg","Pasted below"},0),Tables!$D$5:$D$85,Tables!$G$5:$G$85,Tables!$J$5:$J$85,Inputs!$E$9:$E$89),71)</f>
        <v/>
      </c>
      <c r="L75" s="4">
        <f>$A$16*INDEX(CHOOSE(MATCH(Inputs!$C$4,{"CIE 1931 2deg","CIE 1964 10deg","CIE 2015 2deg","Pasted below"},0),Tables!$B$5:$B$85,Tables!$E$5:$E$85,Tables!$H$5:$H$85,Inputs!$C$9:$C$89),71)+$B$16*INDEX(CHOOSE(MATCH(Inputs!$C$4,{"CIE 1931 2deg","CIE 1964 10deg","CIE 2015 2deg","Pasted below"},0),Tables!$C$5:$C$85,Tables!$F$5:$F$85,Tables!$I$5:$I$85,Inputs!$D$9:$D$89),71)+$C$16*INDEX(CHOOSE(MATCH(Inputs!$C$4,{"CIE 1931 2deg","CIE 1964 10deg","CIE 2015 2deg","Pasted below"},0),Tables!$D$5:$D$85,Tables!$G$5:$G$85,Tables!$J$5:$J$85,Inputs!$E$9:$E$89),71)</f>
        <v/>
      </c>
    </row>
    <row r="76">
      <c r="I76" t="n">
        <v>735</v>
      </c>
      <c r="J76" s="4">
        <f>$A$14*INDEX(CHOOSE(MATCH(Inputs!$C$4,{"CIE 1931 2deg","CIE 1964 10deg","CIE 2015 2deg","Pasted below"},0),Tables!$B$5:$B$85,Tables!$E$5:$E$85,Tables!$H$5:$H$85,Inputs!$C$9:$C$89),72)+$B$14*INDEX(CHOOSE(MATCH(Inputs!$C$4,{"CIE 1931 2deg","CIE 1964 10deg","CIE 2015 2deg","Pasted below"},0),Tables!$C$5:$C$85,Tables!$F$5:$F$85,Tables!$I$5:$I$85,Inputs!$D$9:$D$89),72)+$C$14*INDEX(CHOOSE(MATCH(Inputs!$C$4,{"CIE 1931 2deg","CIE 1964 10deg","CIE 2015 2deg","Pasted below"},0),Tables!$D$5:$D$85,Tables!$G$5:$G$85,Tables!$J$5:$J$85,Inputs!$E$9:$E$89),72)</f>
        <v/>
      </c>
      <c r="K76" s="4">
        <f>$A$15*INDEX(CHOOSE(MATCH(Inputs!$C$4,{"CIE 1931 2deg","CIE 1964 10deg","CIE 2015 2deg","Pasted below"},0),Tables!$B$5:$B$85,Tables!$E$5:$E$85,Tables!$H$5:$H$85,Inputs!$C$9:$C$89),72)+$B$15*INDEX(CHOOSE(MATCH(Inputs!$C$4,{"CIE 1931 2deg","CIE 1964 10deg","CIE 2015 2deg","Pasted below"},0),Tables!$C$5:$C$85,Tables!$F$5:$F$85,Tables!$I$5:$I$85,Inputs!$D$9:$D$89),72)+$C$15*INDEX(CHOOSE(MATCH(Inputs!$C$4,{"CIE 1931 2deg","CIE 1964 10deg","CIE 2015 2deg","Pasted below"},0),Tables!$D$5:$D$85,Tables!$G$5:$G$85,Tables!$J$5:$J$85,Inputs!$E$9:$E$89),72)</f>
        <v/>
      </c>
      <c r="L76" s="4">
        <f>$A$16*INDEX(CHOOSE(MATCH(Inputs!$C$4,{"CIE 1931 2deg","CIE 1964 10deg","CIE 2015 2deg","Pasted below"},0),Tables!$B$5:$B$85,Tables!$E$5:$E$85,Tables!$H$5:$H$85,Inputs!$C$9:$C$89),72)+$B$16*INDEX(CHOOSE(MATCH(Inputs!$C$4,{"CIE 1931 2deg","CIE 1964 10deg","CIE 2015 2deg","Pasted below"},0),Tables!$C$5:$C$85,Tables!$F$5:$F$85,Tables!$I$5:$I$85,Inputs!$D$9:$D$89),72)+$C$16*INDEX(CHOOSE(MATCH(Inputs!$C$4,{"CIE 1931 2deg","CIE 1964 10deg","CIE 2015 2deg","Pasted below"},0),Tables!$D$5:$D$85,Tables!$G$5:$G$85,Tables!$J$5:$J$85,Inputs!$E$9:$E$89),72)</f>
        <v/>
      </c>
    </row>
    <row r="77">
      <c r="I77" t="n">
        <v>740</v>
      </c>
      <c r="J77" s="4">
        <f>$A$14*INDEX(CHOOSE(MATCH(Inputs!$C$4,{"CIE 1931 2deg","CIE 1964 10deg","CIE 2015 2deg","Pasted below"},0),Tables!$B$5:$B$85,Tables!$E$5:$E$85,Tables!$H$5:$H$85,Inputs!$C$9:$C$89),73)+$B$14*INDEX(CHOOSE(MATCH(Inputs!$C$4,{"CIE 1931 2deg","CIE 1964 10deg","CIE 2015 2deg","Pasted below"},0),Tables!$C$5:$C$85,Tables!$F$5:$F$85,Tables!$I$5:$I$85,Inputs!$D$9:$D$89),73)+$C$14*INDEX(CHOOSE(MATCH(Inputs!$C$4,{"CIE 1931 2deg","CIE 1964 10deg","CIE 2015 2deg","Pasted below"},0),Tables!$D$5:$D$85,Tables!$G$5:$G$85,Tables!$J$5:$J$85,Inputs!$E$9:$E$89),73)</f>
        <v/>
      </c>
      <c r="K77" s="4">
        <f>$A$15*INDEX(CHOOSE(MATCH(Inputs!$C$4,{"CIE 1931 2deg","CIE 1964 10deg","CIE 2015 2deg","Pasted below"},0),Tables!$B$5:$B$85,Tables!$E$5:$E$85,Tables!$H$5:$H$85,Inputs!$C$9:$C$89),73)+$B$15*INDEX(CHOOSE(MATCH(Inputs!$C$4,{"CIE 1931 2deg","CIE 1964 10deg","CIE 2015 2deg","Pasted below"},0),Tables!$C$5:$C$85,Tables!$F$5:$F$85,Tables!$I$5:$I$85,Inputs!$D$9:$D$89),73)+$C$15*INDEX(CHOOSE(MATCH(Inputs!$C$4,{"CIE 1931 2deg","CIE 1964 10deg","CIE 2015 2deg","Pasted below"},0),Tables!$D$5:$D$85,Tables!$G$5:$G$85,Tables!$J$5:$J$85,Inputs!$E$9:$E$89),73)</f>
        <v/>
      </c>
      <c r="L77" s="4">
        <f>$A$16*INDEX(CHOOSE(MATCH(Inputs!$C$4,{"CIE 1931 2deg","CIE 1964 10deg","CIE 2015 2deg","Pasted below"},0),Tables!$B$5:$B$85,Tables!$E$5:$E$85,Tables!$H$5:$H$85,Inputs!$C$9:$C$89),73)+$B$16*INDEX(CHOOSE(MATCH(Inputs!$C$4,{"CIE 1931 2deg","CIE 1964 10deg","CIE 2015 2deg","Pasted below"},0),Tables!$C$5:$C$85,Tables!$F$5:$F$85,Tables!$I$5:$I$85,Inputs!$D$9:$D$89),73)+$C$16*INDEX(CHOOSE(MATCH(Inputs!$C$4,{"CIE 1931 2deg","CIE 1964 10deg","CIE 2015 2deg","Pasted below"},0),Tables!$D$5:$D$85,Tables!$G$5:$G$85,Tables!$J$5:$J$85,Inputs!$E$9:$E$89),73)</f>
        <v/>
      </c>
    </row>
    <row r="78">
      <c r="I78" t="n">
        <v>745</v>
      </c>
      <c r="J78" s="4">
        <f>$A$14*INDEX(CHOOSE(MATCH(Inputs!$C$4,{"CIE 1931 2deg","CIE 1964 10deg","CIE 2015 2deg","Pasted below"},0),Tables!$B$5:$B$85,Tables!$E$5:$E$85,Tables!$H$5:$H$85,Inputs!$C$9:$C$89),74)+$B$14*INDEX(CHOOSE(MATCH(Inputs!$C$4,{"CIE 1931 2deg","CIE 1964 10deg","CIE 2015 2deg","Pasted below"},0),Tables!$C$5:$C$85,Tables!$F$5:$F$85,Tables!$I$5:$I$85,Inputs!$D$9:$D$89),74)+$C$14*INDEX(CHOOSE(MATCH(Inputs!$C$4,{"CIE 1931 2deg","CIE 1964 10deg","CIE 2015 2deg","Pasted below"},0),Tables!$D$5:$D$85,Tables!$G$5:$G$85,Tables!$J$5:$J$85,Inputs!$E$9:$E$89),74)</f>
        <v/>
      </c>
      <c r="K78" s="4">
        <f>$A$15*INDEX(CHOOSE(MATCH(Inputs!$C$4,{"CIE 1931 2deg","CIE 1964 10deg","CIE 2015 2deg","Pasted below"},0),Tables!$B$5:$B$85,Tables!$E$5:$E$85,Tables!$H$5:$H$85,Inputs!$C$9:$C$89),74)+$B$15*INDEX(CHOOSE(MATCH(Inputs!$C$4,{"CIE 1931 2deg","CIE 1964 10deg","CIE 2015 2deg","Pasted below"},0),Tables!$C$5:$C$85,Tables!$F$5:$F$85,Tables!$I$5:$I$85,Inputs!$D$9:$D$89),74)+$C$15*INDEX(CHOOSE(MATCH(Inputs!$C$4,{"CIE 1931 2deg","CIE 1964 10deg","CIE 2015 2deg","Pasted below"},0),Tables!$D$5:$D$85,Tables!$G$5:$G$85,Tables!$J$5:$J$85,Inputs!$E$9:$E$89),74)</f>
        <v/>
      </c>
      <c r="L78" s="4">
        <f>$A$16*INDEX(CHOOSE(MATCH(Inputs!$C$4,{"CIE 1931 2deg","CIE 1964 10deg","CIE 2015 2deg","Pasted below"},0),Tables!$B$5:$B$85,Tables!$E$5:$E$85,Tables!$H$5:$H$85,Inputs!$C$9:$C$89),74)+$B$16*INDEX(CHOOSE(MATCH(Inputs!$C$4,{"CIE 1931 2deg","CIE 1964 10deg","CIE 2015 2deg","Pasted below"},0),Tables!$C$5:$C$85,Tables!$F$5:$F$85,Tables!$I$5:$I$85,Inputs!$D$9:$D$89),74)+$C$16*INDEX(CHOOSE(MATCH(Inputs!$C$4,{"CIE 1931 2deg","CIE 1964 10deg","CIE 2015 2deg","Pasted below"},0),Tables!$D$5:$D$85,Tables!$G$5:$G$85,Tables!$J$5:$J$85,Inputs!$E$9:$E$89),74)</f>
        <v/>
      </c>
    </row>
    <row r="79">
      <c r="I79" t="n">
        <v>750</v>
      </c>
      <c r="J79" s="4">
        <f>$A$14*INDEX(CHOOSE(MATCH(Inputs!$C$4,{"CIE 1931 2deg","CIE 1964 10deg","CIE 2015 2deg","Pasted below"},0),Tables!$B$5:$B$85,Tables!$E$5:$E$85,Tables!$H$5:$H$85,Inputs!$C$9:$C$89),75)+$B$14*INDEX(CHOOSE(MATCH(Inputs!$C$4,{"CIE 1931 2deg","CIE 1964 10deg","CIE 2015 2deg","Pasted below"},0),Tables!$C$5:$C$85,Tables!$F$5:$F$85,Tables!$I$5:$I$85,Inputs!$D$9:$D$89),75)+$C$14*INDEX(CHOOSE(MATCH(Inputs!$C$4,{"CIE 1931 2deg","CIE 1964 10deg","CIE 2015 2deg","Pasted below"},0),Tables!$D$5:$D$85,Tables!$G$5:$G$85,Tables!$J$5:$J$85,Inputs!$E$9:$E$89),75)</f>
        <v/>
      </c>
      <c r="K79" s="4">
        <f>$A$15*INDEX(CHOOSE(MATCH(Inputs!$C$4,{"CIE 1931 2deg","CIE 1964 10deg","CIE 2015 2deg","Pasted below"},0),Tables!$B$5:$B$85,Tables!$E$5:$E$85,Tables!$H$5:$H$85,Inputs!$C$9:$C$89),75)+$B$15*INDEX(CHOOSE(MATCH(Inputs!$C$4,{"CIE 1931 2deg","CIE 1964 10deg","CIE 2015 2deg","Pasted below"},0),Tables!$C$5:$C$85,Tables!$F$5:$F$85,Tables!$I$5:$I$85,Inputs!$D$9:$D$89),75)+$C$15*INDEX(CHOOSE(MATCH(Inputs!$C$4,{"CIE 1931 2deg","CIE 1964 10deg","CIE 2015 2deg","Pasted below"},0),Tables!$D$5:$D$85,Tables!$G$5:$G$85,Tables!$J$5:$J$85,Inputs!$E$9:$E$89),75)</f>
        <v/>
      </c>
      <c r="L79" s="4">
        <f>$A$16*INDEX(CHOOSE(MATCH(Inputs!$C$4,{"CIE 1931 2deg","CIE 1964 10deg","CIE 2015 2deg","Pasted below"},0),Tables!$B$5:$B$85,Tables!$E$5:$E$85,Tables!$H$5:$H$85,Inputs!$C$9:$C$89),75)+$B$16*INDEX(CHOOSE(MATCH(Inputs!$C$4,{"CIE 1931 2deg","CIE 1964 10deg","CIE 2015 2deg","Pasted below"},0),Tables!$C$5:$C$85,Tables!$F$5:$F$85,Tables!$I$5:$I$85,Inputs!$D$9:$D$89),75)+$C$16*INDEX(CHOOSE(MATCH(Inputs!$C$4,{"CIE 1931 2deg","CIE 1964 10deg","CIE 2015 2deg","Pasted below"},0),Tables!$D$5:$D$85,Tables!$G$5:$G$85,Tables!$J$5:$J$85,Inputs!$E$9:$E$89),75)</f>
        <v/>
      </c>
    </row>
    <row r="80">
      <c r="I80" t="n">
        <v>755</v>
      </c>
      <c r="J80" s="4">
        <f>$A$14*INDEX(CHOOSE(MATCH(Inputs!$C$4,{"CIE 1931 2deg","CIE 1964 10deg","CIE 2015 2deg","Pasted below"},0),Tables!$B$5:$B$85,Tables!$E$5:$E$85,Tables!$H$5:$H$85,Inputs!$C$9:$C$89),76)+$B$14*INDEX(CHOOSE(MATCH(Inputs!$C$4,{"CIE 1931 2deg","CIE 1964 10deg","CIE 2015 2deg","Pasted below"},0),Tables!$C$5:$C$85,Tables!$F$5:$F$85,Tables!$I$5:$I$85,Inputs!$D$9:$D$89),76)+$C$14*INDEX(CHOOSE(MATCH(Inputs!$C$4,{"CIE 1931 2deg","CIE 1964 10deg","CIE 2015 2deg","Pasted below"},0),Tables!$D$5:$D$85,Tables!$G$5:$G$85,Tables!$J$5:$J$85,Inputs!$E$9:$E$89),76)</f>
        <v/>
      </c>
      <c r="K80" s="4">
        <f>$A$15*INDEX(CHOOSE(MATCH(Inputs!$C$4,{"CIE 1931 2deg","CIE 1964 10deg","CIE 2015 2deg","Pasted below"},0),Tables!$B$5:$B$85,Tables!$E$5:$E$85,Tables!$H$5:$H$85,Inputs!$C$9:$C$89),76)+$B$15*INDEX(CHOOSE(MATCH(Inputs!$C$4,{"CIE 1931 2deg","CIE 1964 10deg","CIE 2015 2deg","Pasted below"},0),Tables!$C$5:$C$85,Tables!$F$5:$F$85,Tables!$I$5:$I$85,Inputs!$D$9:$D$89),76)+$C$15*INDEX(CHOOSE(MATCH(Inputs!$C$4,{"CIE 1931 2deg","CIE 1964 10deg","CIE 2015 2deg","Pasted below"},0),Tables!$D$5:$D$85,Tables!$G$5:$G$85,Tables!$J$5:$J$85,Inputs!$E$9:$E$89),76)</f>
        <v/>
      </c>
      <c r="L80" s="4">
        <f>$A$16*INDEX(CHOOSE(MATCH(Inputs!$C$4,{"CIE 1931 2deg","CIE 1964 10deg","CIE 2015 2deg","Pasted below"},0),Tables!$B$5:$B$85,Tables!$E$5:$E$85,Tables!$H$5:$H$85,Inputs!$C$9:$C$89),76)+$B$16*INDEX(CHOOSE(MATCH(Inputs!$C$4,{"CIE 1931 2deg","CIE 1964 10deg","CIE 2015 2deg","Pasted below"},0),Tables!$C$5:$C$85,Tables!$F$5:$F$85,Tables!$I$5:$I$85,Inputs!$D$9:$D$89),76)+$C$16*INDEX(CHOOSE(MATCH(Inputs!$C$4,{"CIE 1931 2deg","CIE 1964 10deg","CIE 2015 2deg","Pasted below"},0),Tables!$D$5:$D$85,Tables!$G$5:$G$85,Tables!$J$5:$J$85,Inputs!$E$9:$E$89),76)</f>
        <v/>
      </c>
    </row>
    <row r="81">
      <c r="I81" t="n">
        <v>760</v>
      </c>
      <c r="J81" s="4">
        <f>$A$14*INDEX(CHOOSE(MATCH(Inputs!$C$4,{"CIE 1931 2deg","CIE 1964 10deg","CIE 2015 2deg","Pasted below"},0),Tables!$B$5:$B$85,Tables!$E$5:$E$85,Tables!$H$5:$H$85,Inputs!$C$9:$C$89),77)+$B$14*INDEX(CHOOSE(MATCH(Inputs!$C$4,{"CIE 1931 2deg","CIE 1964 10deg","CIE 2015 2deg","Pasted below"},0),Tables!$C$5:$C$85,Tables!$F$5:$F$85,Tables!$I$5:$I$85,Inputs!$D$9:$D$89),77)+$C$14*INDEX(CHOOSE(MATCH(Inputs!$C$4,{"CIE 1931 2deg","CIE 1964 10deg","CIE 2015 2deg","Pasted below"},0),Tables!$D$5:$D$85,Tables!$G$5:$G$85,Tables!$J$5:$J$85,Inputs!$E$9:$E$89),77)</f>
        <v/>
      </c>
      <c r="K81" s="4">
        <f>$A$15*INDEX(CHOOSE(MATCH(Inputs!$C$4,{"CIE 1931 2deg","CIE 1964 10deg","CIE 2015 2deg","Pasted below"},0),Tables!$B$5:$B$85,Tables!$E$5:$E$85,Tables!$H$5:$H$85,Inputs!$C$9:$C$89),77)+$B$15*INDEX(CHOOSE(MATCH(Inputs!$C$4,{"CIE 1931 2deg","CIE 1964 10deg","CIE 2015 2deg","Pasted below"},0),Tables!$C$5:$C$85,Tables!$F$5:$F$85,Tables!$I$5:$I$85,Inputs!$D$9:$D$89),77)+$C$15*INDEX(CHOOSE(MATCH(Inputs!$C$4,{"CIE 1931 2deg","CIE 1964 10deg","CIE 2015 2deg","Pasted below"},0),Tables!$D$5:$D$85,Tables!$G$5:$G$85,Tables!$J$5:$J$85,Inputs!$E$9:$E$89),77)</f>
        <v/>
      </c>
      <c r="L81" s="4">
        <f>$A$16*INDEX(CHOOSE(MATCH(Inputs!$C$4,{"CIE 1931 2deg","CIE 1964 10deg","CIE 2015 2deg","Pasted below"},0),Tables!$B$5:$B$85,Tables!$E$5:$E$85,Tables!$H$5:$H$85,Inputs!$C$9:$C$89),77)+$B$16*INDEX(CHOOSE(MATCH(Inputs!$C$4,{"CIE 1931 2deg","CIE 1964 10deg","CIE 2015 2deg","Pasted below"},0),Tables!$C$5:$C$85,Tables!$F$5:$F$85,Tables!$I$5:$I$85,Inputs!$D$9:$D$89),77)+$C$16*INDEX(CHOOSE(MATCH(Inputs!$C$4,{"CIE 1931 2deg","CIE 1964 10deg","CIE 2015 2deg","Pasted below"},0),Tables!$D$5:$D$85,Tables!$G$5:$G$85,Tables!$J$5:$J$85,Inputs!$E$9:$E$89),77)</f>
        <v/>
      </c>
    </row>
    <row r="82">
      <c r="I82" t="n">
        <v>765</v>
      </c>
      <c r="J82" s="4">
        <f>$A$14*INDEX(CHOOSE(MATCH(Inputs!$C$4,{"CIE 1931 2deg","CIE 1964 10deg","CIE 2015 2deg","Pasted below"},0),Tables!$B$5:$B$85,Tables!$E$5:$E$85,Tables!$H$5:$H$85,Inputs!$C$9:$C$89),78)+$B$14*INDEX(CHOOSE(MATCH(Inputs!$C$4,{"CIE 1931 2deg","CIE 1964 10deg","CIE 2015 2deg","Pasted below"},0),Tables!$C$5:$C$85,Tables!$F$5:$F$85,Tables!$I$5:$I$85,Inputs!$D$9:$D$89),78)+$C$14*INDEX(CHOOSE(MATCH(Inputs!$C$4,{"CIE 1931 2deg","CIE 1964 10deg","CIE 2015 2deg","Pasted below"},0),Tables!$D$5:$D$85,Tables!$G$5:$G$85,Tables!$J$5:$J$85,Inputs!$E$9:$E$89),78)</f>
        <v/>
      </c>
      <c r="K82" s="4">
        <f>$A$15*INDEX(CHOOSE(MATCH(Inputs!$C$4,{"CIE 1931 2deg","CIE 1964 10deg","CIE 2015 2deg","Pasted below"},0),Tables!$B$5:$B$85,Tables!$E$5:$E$85,Tables!$H$5:$H$85,Inputs!$C$9:$C$89),78)+$B$15*INDEX(CHOOSE(MATCH(Inputs!$C$4,{"CIE 1931 2deg","CIE 1964 10deg","CIE 2015 2deg","Pasted below"},0),Tables!$C$5:$C$85,Tables!$F$5:$F$85,Tables!$I$5:$I$85,Inputs!$D$9:$D$89),78)+$C$15*INDEX(CHOOSE(MATCH(Inputs!$C$4,{"CIE 1931 2deg","CIE 1964 10deg","CIE 2015 2deg","Pasted below"},0),Tables!$D$5:$D$85,Tables!$G$5:$G$85,Tables!$J$5:$J$85,Inputs!$E$9:$E$89),78)</f>
        <v/>
      </c>
      <c r="L82" s="4">
        <f>$A$16*INDEX(CHOOSE(MATCH(Inputs!$C$4,{"CIE 1931 2deg","CIE 1964 10deg","CIE 2015 2deg","Pasted below"},0),Tables!$B$5:$B$85,Tables!$E$5:$E$85,Tables!$H$5:$H$85,Inputs!$C$9:$C$89),78)+$B$16*INDEX(CHOOSE(MATCH(Inputs!$C$4,{"CIE 1931 2deg","CIE 1964 10deg","CIE 2015 2deg","Pasted below"},0),Tables!$C$5:$C$85,Tables!$F$5:$F$85,Tables!$I$5:$I$85,Inputs!$D$9:$D$89),78)+$C$16*INDEX(CHOOSE(MATCH(Inputs!$C$4,{"CIE 1931 2deg","CIE 1964 10deg","CIE 2015 2deg","Pasted below"},0),Tables!$D$5:$D$85,Tables!$G$5:$G$85,Tables!$J$5:$J$85,Inputs!$E$9:$E$89),78)</f>
        <v/>
      </c>
    </row>
    <row r="83">
      <c r="I83" t="n">
        <v>770</v>
      </c>
      <c r="J83" s="4">
        <f>$A$14*INDEX(CHOOSE(MATCH(Inputs!$C$4,{"CIE 1931 2deg","CIE 1964 10deg","CIE 2015 2deg","Pasted below"},0),Tables!$B$5:$B$85,Tables!$E$5:$E$85,Tables!$H$5:$H$85,Inputs!$C$9:$C$89),79)+$B$14*INDEX(CHOOSE(MATCH(Inputs!$C$4,{"CIE 1931 2deg","CIE 1964 10deg","CIE 2015 2deg","Pasted below"},0),Tables!$C$5:$C$85,Tables!$F$5:$F$85,Tables!$I$5:$I$85,Inputs!$D$9:$D$89),79)+$C$14*INDEX(CHOOSE(MATCH(Inputs!$C$4,{"CIE 1931 2deg","CIE 1964 10deg","CIE 2015 2deg","Pasted below"},0),Tables!$D$5:$D$85,Tables!$G$5:$G$85,Tables!$J$5:$J$85,Inputs!$E$9:$E$89),79)</f>
        <v/>
      </c>
      <c r="K83" s="4">
        <f>$A$15*INDEX(CHOOSE(MATCH(Inputs!$C$4,{"CIE 1931 2deg","CIE 1964 10deg","CIE 2015 2deg","Pasted below"},0),Tables!$B$5:$B$85,Tables!$E$5:$E$85,Tables!$H$5:$H$85,Inputs!$C$9:$C$89),79)+$B$15*INDEX(CHOOSE(MATCH(Inputs!$C$4,{"CIE 1931 2deg","CIE 1964 10deg","CIE 2015 2deg","Pasted below"},0),Tables!$C$5:$C$85,Tables!$F$5:$F$85,Tables!$I$5:$I$85,Inputs!$D$9:$D$89),79)+$C$15*INDEX(CHOOSE(MATCH(Inputs!$C$4,{"CIE 1931 2deg","CIE 1964 10deg","CIE 2015 2deg","Pasted below"},0),Tables!$D$5:$D$85,Tables!$G$5:$G$85,Tables!$J$5:$J$85,Inputs!$E$9:$E$89),79)</f>
        <v/>
      </c>
      <c r="L83" s="4">
        <f>$A$16*INDEX(CHOOSE(MATCH(Inputs!$C$4,{"CIE 1931 2deg","CIE 1964 10deg","CIE 2015 2deg","Pasted below"},0),Tables!$B$5:$B$85,Tables!$E$5:$E$85,Tables!$H$5:$H$85,Inputs!$C$9:$C$89),79)+$B$16*INDEX(CHOOSE(MATCH(Inputs!$C$4,{"CIE 1931 2deg","CIE 1964 10deg","CIE 2015 2deg","Pasted below"},0),Tables!$C$5:$C$85,Tables!$F$5:$F$85,Tables!$I$5:$I$85,Inputs!$D$9:$D$89),79)+$C$16*INDEX(CHOOSE(MATCH(Inputs!$C$4,{"CIE 1931 2deg","CIE 1964 10deg","CIE 2015 2deg","Pasted below"},0),Tables!$D$5:$D$85,Tables!$G$5:$G$85,Tables!$J$5:$J$85,Inputs!$E$9:$E$89),79)</f>
        <v/>
      </c>
    </row>
    <row r="84">
      <c r="I84" t="n">
        <v>775</v>
      </c>
      <c r="J84" s="4">
        <f>$A$14*INDEX(CHOOSE(MATCH(Inputs!$C$4,{"CIE 1931 2deg","CIE 1964 10deg","CIE 2015 2deg","Pasted below"},0),Tables!$B$5:$B$85,Tables!$E$5:$E$85,Tables!$H$5:$H$85,Inputs!$C$9:$C$89),80)+$B$14*INDEX(CHOOSE(MATCH(Inputs!$C$4,{"CIE 1931 2deg","CIE 1964 10deg","CIE 2015 2deg","Pasted below"},0),Tables!$C$5:$C$85,Tables!$F$5:$F$85,Tables!$I$5:$I$85,Inputs!$D$9:$D$89),80)+$C$14*INDEX(CHOOSE(MATCH(Inputs!$C$4,{"CIE 1931 2deg","CIE 1964 10deg","CIE 2015 2deg","Pasted below"},0),Tables!$D$5:$D$85,Tables!$G$5:$G$85,Tables!$J$5:$J$85,Inputs!$E$9:$E$89),80)</f>
        <v/>
      </c>
      <c r="K84" s="4">
        <f>$A$15*INDEX(CHOOSE(MATCH(Inputs!$C$4,{"CIE 1931 2deg","CIE 1964 10deg","CIE 2015 2deg","Pasted below"},0),Tables!$B$5:$B$85,Tables!$E$5:$E$85,Tables!$H$5:$H$85,Inputs!$C$9:$C$89),80)+$B$15*INDEX(CHOOSE(MATCH(Inputs!$C$4,{"CIE 1931 2deg","CIE 1964 10deg","CIE 2015 2deg","Pasted below"},0),Tables!$C$5:$C$85,Tables!$F$5:$F$85,Tables!$I$5:$I$85,Inputs!$D$9:$D$89),80)+$C$15*INDEX(CHOOSE(MATCH(Inputs!$C$4,{"CIE 1931 2deg","CIE 1964 10deg","CIE 2015 2deg","Pasted below"},0),Tables!$D$5:$D$85,Tables!$G$5:$G$85,Tables!$J$5:$J$85,Inputs!$E$9:$E$89),80)</f>
        <v/>
      </c>
      <c r="L84" s="4">
        <f>$A$16*INDEX(CHOOSE(MATCH(Inputs!$C$4,{"CIE 1931 2deg","CIE 1964 10deg","CIE 2015 2deg","Pasted below"},0),Tables!$B$5:$B$85,Tables!$E$5:$E$85,Tables!$H$5:$H$85,Inputs!$C$9:$C$89),80)+$B$16*INDEX(CHOOSE(MATCH(Inputs!$C$4,{"CIE 1931 2deg","CIE 1964 10deg","CIE 2015 2deg","Pasted below"},0),Tables!$C$5:$C$85,Tables!$F$5:$F$85,Tables!$I$5:$I$85,Inputs!$D$9:$D$89),80)+$C$16*INDEX(CHOOSE(MATCH(Inputs!$C$4,{"CIE 1931 2deg","CIE 1964 10deg","CIE 2015 2deg","Pasted below"},0),Tables!$D$5:$D$85,Tables!$G$5:$G$85,Tables!$J$5:$J$85,Inputs!$E$9:$E$89),80)</f>
        <v/>
      </c>
    </row>
    <row r="85">
      <c r="I85" t="n">
        <v>780</v>
      </c>
      <c r="J85" s="4">
        <f>$A$14*INDEX(CHOOSE(MATCH(Inputs!$C$4,{"CIE 1931 2deg","CIE 1964 10deg","CIE 2015 2deg","Pasted below"},0),Tables!$B$5:$B$85,Tables!$E$5:$E$85,Tables!$H$5:$H$85,Inputs!$C$9:$C$89),81)+$B$14*INDEX(CHOOSE(MATCH(Inputs!$C$4,{"CIE 1931 2deg","CIE 1964 10deg","CIE 2015 2deg","Pasted below"},0),Tables!$C$5:$C$85,Tables!$F$5:$F$85,Tables!$I$5:$I$85,Inputs!$D$9:$D$89),81)+$C$14*INDEX(CHOOSE(MATCH(Inputs!$C$4,{"CIE 1931 2deg","CIE 1964 10deg","CIE 2015 2deg","Pasted below"},0),Tables!$D$5:$D$85,Tables!$G$5:$G$85,Tables!$J$5:$J$85,Inputs!$E$9:$E$89),81)</f>
        <v/>
      </c>
      <c r="K85" s="4">
        <f>$A$15*INDEX(CHOOSE(MATCH(Inputs!$C$4,{"CIE 1931 2deg","CIE 1964 10deg","CIE 2015 2deg","Pasted below"},0),Tables!$B$5:$B$85,Tables!$E$5:$E$85,Tables!$H$5:$H$85,Inputs!$C$9:$C$89),81)+$B$15*INDEX(CHOOSE(MATCH(Inputs!$C$4,{"CIE 1931 2deg","CIE 1964 10deg","CIE 2015 2deg","Pasted below"},0),Tables!$C$5:$C$85,Tables!$F$5:$F$85,Tables!$I$5:$I$85,Inputs!$D$9:$D$89),81)+$C$15*INDEX(CHOOSE(MATCH(Inputs!$C$4,{"CIE 1931 2deg","CIE 1964 10deg","CIE 2015 2deg","Pasted below"},0),Tables!$D$5:$D$85,Tables!$G$5:$G$85,Tables!$J$5:$J$85,Inputs!$E$9:$E$89),81)</f>
        <v/>
      </c>
      <c r="L85" s="4">
        <f>$A$16*INDEX(CHOOSE(MATCH(Inputs!$C$4,{"CIE 1931 2deg","CIE 1964 10deg","CIE 2015 2deg","Pasted below"},0),Tables!$B$5:$B$85,Tables!$E$5:$E$85,Tables!$H$5:$H$85,Inputs!$C$9:$C$89),81)+$B$16*INDEX(CHOOSE(MATCH(Inputs!$C$4,{"CIE 1931 2deg","CIE 1964 10deg","CIE 2015 2deg","Pasted below"},0),Tables!$C$5:$C$85,Tables!$F$5:$F$85,Tables!$I$5:$I$85,Inputs!$D$9:$D$89),81)+$C$16*INDEX(CHOOSE(MATCH(Inputs!$C$4,{"CIE 1931 2deg","CIE 1964 10deg","CIE 2015 2deg","Pasted below"},0),Tables!$D$5:$D$85,Tables!$G$5:$G$85,Tables!$J$5:$J$85,Inputs!$E$9:$E$89),81)</f>
        <v/>
      </c>
    </row>
    <row r="87">
      <c r="I87" t="inlineStr">
        <is>
          <t>Meaningful as an observer conversion when source and destination share one light.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t="inlineStr">
        <is>
          <t>Yellow cells are inputs. To use your own observer or light, choose "Pasted below" and paste 81 values per column.</t>
        </is>
      </c>
    </row>
    <row r="3">
      <c r="B3" s="7" t="inlineStr">
        <is>
          <t>Source</t>
        </is>
      </c>
      <c r="G3" s="7" t="inlineStr">
        <is>
          <t>Destination</t>
        </is>
      </c>
    </row>
    <row r="4">
      <c r="B4" t="inlineStr">
        <is>
          <t>Observer</t>
        </is>
      </c>
      <c r="C4" s="5" t="inlineStr">
        <is>
          <t>CIE 2015 2deg</t>
        </is>
      </c>
      <c r="G4" t="inlineStr">
        <is>
          <t>Observer</t>
        </is>
      </c>
      <c r="H4" s="5" t="inlineStr">
        <is>
          <t>CIE 1931 2deg</t>
        </is>
      </c>
    </row>
    <row r="5">
      <c r="B5" t="inlineStr">
        <is>
          <t>Light</t>
        </is>
      </c>
      <c r="C5" s="5" t="inlineStr">
        <is>
          <t>D65</t>
        </is>
      </c>
      <c r="G5" t="inlineStr">
        <is>
          <t>Light</t>
        </is>
      </c>
      <c r="H5" s="5" t="inlineStr">
        <is>
          <t>D65</t>
        </is>
      </c>
    </row>
    <row r="8">
      <c r="B8" s="3" t="inlineStr">
        <is>
          <t>nm</t>
        </is>
      </c>
      <c r="C8" s="3" t="inlineStr">
        <is>
          <t>pasted x</t>
        </is>
      </c>
      <c r="D8" s="3" t="inlineStr">
        <is>
          <t>pasted y</t>
        </is>
      </c>
      <c r="E8" s="3" t="inlineStr">
        <is>
          <t>pasted z</t>
        </is>
      </c>
      <c r="F8" s="3" t="inlineStr">
        <is>
          <t>pasted light</t>
        </is>
      </c>
      <c r="G8" s="3" t="inlineStr">
        <is>
          <t>nm</t>
        </is>
      </c>
      <c r="H8" s="3" t="inlineStr">
        <is>
          <t>pasted x</t>
        </is>
      </c>
      <c r="I8" s="3" t="inlineStr">
        <is>
          <t>pasted y</t>
        </is>
      </c>
      <c r="J8" s="3" t="inlineStr">
        <is>
          <t>pasted z</t>
        </is>
      </c>
      <c r="K8" s="3" t="inlineStr">
        <is>
          <t>pasted light</t>
        </is>
      </c>
    </row>
    <row r="9">
      <c r="B9" t="n">
        <v>380</v>
      </c>
      <c r="C9" s="5" t="n"/>
      <c r="D9" s="5" t="n"/>
      <c r="E9" s="5" t="n"/>
      <c r="F9" s="5" t="n"/>
      <c r="G9" t="n">
        <v>380</v>
      </c>
      <c r="H9" s="5" t="n"/>
      <c r="I9" s="5" t="n"/>
      <c r="J9" s="5" t="n"/>
      <c r="K9" s="5" t="n"/>
    </row>
    <row r="10">
      <c r="B10" t="n">
        <v>385</v>
      </c>
      <c r="C10" s="5" t="n"/>
      <c r="D10" s="5" t="n"/>
      <c r="E10" s="5" t="n"/>
      <c r="F10" s="5" t="n"/>
      <c r="G10" t="n">
        <v>385</v>
      </c>
      <c r="H10" s="5" t="n"/>
      <c r="I10" s="5" t="n"/>
      <c r="J10" s="5" t="n"/>
      <c r="K10" s="5" t="n"/>
    </row>
    <row r="11">
      <c r="B11" t="n">
        <v>390</v>
      </c>
      <c r="C11" s="5" t="n"/>
      <c r="D11" s="5" t="n"/>
      <c r="E11" s="5" t="n"/>
      <c r="F11" s="5" t="n"/>
      <c r="G11" t="n">
        <v>390</v>
      </c>
      <c r="H11" s="5" t="n"/>
      <c r="I11" s="5" t="n"/>
      <c r="J11" s="5" t="n"/>
      <c r="K11" s="5" t="n"/>
    </row>
    <row r="12">
      <c r="B12" t="n">
        <v>395</v>
      </c>
      <c r="C12" s="5" t="n"/>
      <c r="D12" s="5" t="n"/>
      <c r="E12" s="5" t="n"/>
      <c r="F12" s="5" t="n"/>
      <c r="G12" t="n">
        <v>395</v>
      </c>
      <c r="H12" s="5" t="n"/>
      <c r="I12" s="5" t="n"/>
      <c r="J12" s="5" t="n"/>
      <c r="K12" s="5" t="n"/>
    </row>
    <row r="13">
      <c r="B13" t="n">
        <v>400</v>
      </c>
      <c r="C13" s="5" t="n"/>
      <c r="D13" s="5" t="n"/>
      <c r="E13" s="5" t="n"/>
      <c r="F13" s="5" t="n"/>
      <c r="G13" t="n">
        <v>400</v>
      </c>
      <c r="H13" s="5" t="n"/>
      <c r="I13" s="5" t="n"/>
      <c r="J13" s="5" t="n"/>
      <c r="K13" s="5" t="n"/>
    </row>
    <row r="14">
      <c r="B14" t="n">
        <v>405</v>
      </c>
      <c r="C14" s="5" t="n"/>
      <c r="D14" s="5" t="n"/>
      <c r="E14" s="5" t="n"/>
      <c r="F14" s="5" t="n"/>
      <c r="G14" t="n">
        <v>405</v>
      </c>
      <c r="H14" s="5" t="n"/>
      <c r="I14" s="5" t="n"/>
      <c r="J14" s="5" t="n"/>
      <c r="K14" s="5" t="n"/>
    </row>
    <row r="15">
      <c r="B15" t="n">
        <v>410</v>
      </c>
      <c r="C15" s="5" t="n"/>
      <c r="D15" s="5" t="n"/>
      <c r="E15" s="5" t="n"/>
      <c r="F15" s="5" t="n"/>
      <c r="G15" t="n">
        <v>410</v>
      </c>
      <c r="H15" s="5" t="n"/>
      <c r="I15" s="5" t="n"/>
      <c r="J15" s="5" t="n"/>
      <c r="K15" s="5" t="n"/>
    </row>
    <row r="16">
      <c r="B16" t="n">
        <v>415</v>
      </c>
      <c r="C16" s="5" t="n"/>
      <c r="D16" s="5" t="n"/>
      <c r="E16" s="5" t="n"/>
      <c r="F16" s="5" t="n"/>
      <c r="G16" t="n">
        <v>415</v>
      </c>
      <c r="H16" s="5" t="n"/>
      <c r="I16" s="5" t="n"/>
      <c r="J16" s="5" t="n"/>
      <c r="K16" s="5" t="n"/>
    </row>
    <row r="17">
      <c r="B17" t="n">
        <v>420</v>
      </c>
      <c r="C17" s="5" t="n"/>
      <c r="D17" s="5" t="n"/>
      <c r="E17" s="5" t="n"/>
      <c r="F17" s="5" t="n"/>
      <c r="G17" t="n">
        <v>420</v>
      </c>
      <c r="H17" s="5" t="n"/>
      <c r="I17" s="5" t="n"/>
      <c r="J17" s="5" t="n"/>
      <c r="K17" s="5" t="n"/>
    </row>
    <row r="18">
      <c r="B18" t="n">
        <v>425</v>
      </c>
      <c r="C18" s="5" t="n"/>
      <c r="D18" s="5" t="n"/>
      <c r="E18" s="5" t="n"/>
      <c r="F18" s="5" t="n"/>
      <c r="G18" t="n">
        <v>425</v>
      </c>
      <c r="H18" s="5" t="n"/>
      <c r="I18" s="5" t="n"/>
      <c r="J18" s="5" t="n"/>
      <c r="K18" s="5" t="n"/>
    </row>
    <row r="19">
      <c r="B19" t="n">
        <v>430</v>
      </c>
      <c r="C19" s="5" t="n"/>
      <c r="D19" s="5" t="n"/>
      <c r="E19" s="5" t="n"/>
      <c r="F19" s="5" t="n"/>
      <c r="G19" t="n">
        <v>430</v>
      </c>
      <c r="H19" s="5" t="n"/>
      <c r="I19" s="5" t="n"/>
      <c r="J19" s="5" t="n"/>
      <c r="K19" s="5" t="n"/>
    </row>
    <row r="20">
      <c r="B20" t="n">
        <v>435</v>
      </c>
      <c r="C20" s="5" t="n"/>
      <c r="D20" s="5" t="n"/>
      <c r="E20" s="5" t="n"/>
      <c r="F20" s="5" t="n"/>
      <c r="G20" t="n">
        <v>435</v>
      </c>
      <c r="H20" s="5" t="n"/>
      <c r="I20" s="5" t="n"/>
      <c r="J20" s="5" t="n"/>
      <c r="K20" s="5" t="n"/>
    </row>
    <row r="21">
      <c r="B21" t="n">
        <v>440</v>
      </c>
      <c r="C21" s="5" t="n"/>
      <c r="D21" s="5" t="n"/>
      <c r="E21" s="5" t="n"/>
      <c r="F21" s="5" t="n"/>
      <c r="G21" t="n">
        <v>440</v>
      </c>
      <c r="H21" s="5" t="n"/>
      <c r="I21" s="5" t="n"/>
      <c r="J21" s="5" t="n"/>
      <c r="K21" s="5" t="n"/>
    </row>
    <row r="22">
      <c r="B22" t="n">
        <v>445</v>
      </c>
      <c r="C22" s="5" t="n"/>
      <c r="D22" s="5" t="n"/>
      <c r="E22" s="5" t="n"/>
      <c r="F22" s="5" t="n"/>
      <c r="G22" t="n">
        <v>445</v>
      </c>
      <c r="H22" s="5" t="n"/>
      <c r="I22" s="5" t="n"/>
      <c r="J22" s="5" t="n"/>
      <c r="K22" s="5" t="n"/>
    </row>
    <row r="23">
      <c r="B23" t="n">
        <v>450</v>
      </c>
      <c r="C23" s="5" t="n"/>
      <c r="D23" s="5" t="n"/>
      <c r="E23" s="5" t="n"/>
      <c r="F23" s="5" t="n"/>
      <c r="G23" t="n">
        <v>450</v>
      </c>
      <c r="H23" s="5" t="n"/>
      <c r="I23" s="5" t="n"/>
      <c r="J23" s="5" t="n"/>
      <c r="K23" s="5" t="n"/>
    </row>
    <row r="24">
      <c r="B24" t="n">
        <v>455</v>
      </c>
      <c r="C24" s="5" t="n"/>
      <c r="D24" s="5" t="n"/>
      <c r="E24" s="5" t="n"/>
      <c r="F24" s="5" t="n"/>
      <c r="G24" t="n">
        <v>455</v>
      </c>
      <c r="H24" s="5" t="n"/>
      <c r="I24" s="5" t="n"/>
      <c r="J24" s="5" t="n"/>
      <c r="K24" s="5" t="n"/>
    </row>
    <row r="25">
      <c r="B25" t="n">
        <v>460</v>
      </c>
      <c r="C25" s="5" t="n"/>
      <c r="D25" s="5" t="n"/>
      <c r="E25" s="5" t="n"/>
      <c r="F25" s="5" t="n"/>
      <c r="G25" t="n">
        <v>460</v>
      </c>
      <c r="H25" s="5" t="n"/>
      <c r="I25" s="5" t="n"/>
      <c r="J25" s="5" t="n"/>
      <c r="K25" s="5" t="n"/>
    </row>
    <row r="26">
      <c r="B26" t="n">
        <v>465</v>
      </c>
      <c r="C26" s="5" t="n"/>
      <c r="D26" s="5" t="n"/>
      <c r="E26" s="5" t="n"/>
      <c r="F26" s="5" t="n"/>
      <c r="G26" t="n">
        <v>465</v>
      </c>
      <c r="H26" s="5" t="n"/>
      <c r="I26" s="5" t="n"/>
      <c r="J26" s="5" t="n"/>
      <c r="K26" s="5" t="n"/>
    </row>
    <row r="27">
      <c r="B27" t="n">
        <v>470</v>
      </c>
      <c r="C27" s="5" t="n"/>
      <c r="D27" s="5" t="n"/>
      <c r="E27" s="5" t="n"/>
      <c r="F27" s="5" t="n"/>
      <c r="G27" t="n">
        <v>470</v>
      </c>
      <c r="H27" s="5" t="n"/>
      <c r="I27" s="5" t="n"/>
      <c r="J27" s="5" t="n"/>
      <c r="K27" s="5" t="n"/>
    </row>
    <row r="28">
      <c r="B28" t="n">
        <v>475</v>
      </c>
      <c r="C28" s="5" t="n"/>
      <c r="D28" s="5" t="n"/>
      <c r="E28" s="5" t="n"/>
      <c r="F28" s="5" t="n"/>
      <c r="G28" t="n">
        <v>475</v>
      </c>
      <c r="H28" s="5" t="n"/>
      <c r="I28" s="5" t="n"/>
      <c r="J28" s="5" t="n"/>
      <c r="K28" s="5" t="n"/>
    </row>
    <row r="29">
      <c r="B29" t="n">
        <v>480</v>
      </c>
      <c r="C29" s="5" t="n"/>
      <c r="D29" s="5" t="n"/>
      <c r="E29" s="5" t="n"/>
      <c r="F29" s="5" t="n"/>
      <c r="G29" t="n">
        <v>480</v>
      </c>
      <c r="H29" s="5" t="n"/>
      <c r="I29" s="5" t="n"/>
      <c r="J29" s="5" t="n"/>
      <c r="K29" s="5" t="n"/>
    </row>
    <row r="30">
      <c r="B30" t="n">
        <v>485</v>
      </c>
      <c r="C30" s="5" t="n"/>
      <c r="D30" s="5" t="n"/>
      <c r="E30" s="5" t="n"/>
      <c r="F30" s="5" t="n"/>
      <c r="G30" t="n">
        <v>485</v>
      </c>
      <c r="H30" s="5" t="n"/>
      <c r="I30" s="5" t="n"/>
      <c r="J30" s="5" t="n"/>
      <c r="K30" s="5" t="n"/>
    </row>
    <row r="31">
      <c r="B31" t="n">
        <v>490</v>
      </c>
      <c r="C31" s="5" t="n"/>
      <c r="D31" s="5" t="n"/>
      <c r="E31" s="5" t="n"/>
      <c r="F31" s="5" t="n"/>
      <c r="G31" t="n">
        <v>490</v>
      </c>
      <c r="H31" s="5" t="n"/>
      <c r="I31" s="5" t="n"/>
      <c r="J31" s="5" t="n"/>
      <c r="K31" s="5" t="n"/>
    </row>
    <row r="32">
      <c r="B32" t="n">
        <v>495</v>
      </c>
      <c r="C32" s="5" t="n"/>
      <c r="D32" s="5" t="n"/>
      <c r="E32" s="5" t="n"/>
      <c r="F32" s="5" t="n"/>
      <c r="G32" t="n">
        <v>495</v>
      </c>
      <c r="H32" s="5" t="n"/>
      <c r="I32" s="5" t="n"/>
      <c r="J32" s="5" t="n"/>
      <c r="K32" s="5" t="n"/>
    </row>
    <row r="33">
      <c r="B33" t="n">
        <v>500</v>
      </c>
      <c r="C33" s="5" t="n"/>
      <c r="D33" s="5" t="n"/>
      <c r="E33" s="5" t="n"/>
      <c r="F33" s="5" t="n"/>
      <c r="G33" t="n">
        <v>500</v>
      </c>
      <c r="H33" s="5" t="n"/>
      <c r="I33" s="5" t="n"/>
      <c r="J33" s="5" t="n"/>
      <c r="K33" s="5" t="n"/>
    </row>
    <row r="34">
      <c r="B34" t="n">
        <v>505</v>
      </c>
      <c r="C34" s="5" t="n"/>
      <c r="D34" s="5" t="n"/>
      <c r="E34" s="5" t="n"/>
      <c r="F34" s="5" t="n"/>
      <c r="G34" t="n">
        <v>505</v>
      </c>
      <c r="H34" s="5" t="n"/>
      <c r="I34" s="5" t="n"/>
      <c r="J34" s="5" t="n"/>
      <c r="K34" s="5" t="n"/>
    </row>
    <row r="35">
      <c r="B35" t="n">
        <v>510</v>
      </c>
      <c r="C35" s="5" t="n"/>
      <c r="D35" s="5" t="n"/>
      <c r="E35" s="5" t="n"/>
      <c r="F35" s="5" t="n"/>
      <c r="G35" t="n">
        <v>510</v>
      </c>
      <c r="H35" s="5" t="n"/>
      <c r="I35" s="5" t="n"/>
      <c r="J35" s="5" t="n"/>
      <c r="K35" s="5" t="n"/>
    </row>
    <row r="36">
      <c r="B36" t="n">
        <v>515</v>
      </c>
      <c r="C36" s="5" t="n"/>
      <c r="D36" s="5" t="n"/>
      <c r="E36" s="5" t="n"/>
      <c r="F36" s="5" t="n"/>
      <c r="G36" t="n">
        <v>515</v>
      </c>
      <c r="H36" s="5" t="n"/>
      <c r="I36" s="5" t="n"/>
      <c r="J36" s="5" t="n"/>
      <c r="K36" s="5" t="n"/>
    </row>
    <row r="37">
      <c r="B37" t="n">
        <v>520</v>
      </c>
      <c r="C37" s="5" t="n"/>
      <c r="D37" s="5" t="n"/>
      <c r="E37" s="5" t="n"/>
      <c r="F37" s="5" t="n"/>
      <c r="G37" t="n">
        <v>520</v>
      </c>
      <c r="H37" s="5" t="n"/>
      <c r="I37" s="5" t="n"/>
      <c r="J37" s="5" t="n"/>
      <c r="K37" s="5" t="n"/>
    </row>
    <row r="38">
      <c r="B38" t="n">
        <v>525</v>
      </c>
      <c r="C38" s="5" t="n"/>
      <c r="D38" s="5" t="n"/>
      <c r="E38" s="5" t="n"/>
      <c r="F38" s="5" t="n"/>
      <c r="G38" t="n">
        <v>525</v>
      </c>
      <c r="H38" s="5" t="n"/>
      <c r="I38" s="5" t="n"/>
      <c r="J38" s="5" t="n"/>
      <c r="K38" s="5" t="n"/>
    </row>
    <row r="39">
      <c r="B39" t="n">
        <v>530</v>
      </c>
      <c r="C39" s="5" t="n"/>
      <c r="D39" s="5" t="n"/>
      <c r="E39" s="5" t="n"/>
      <c r="F39" s="5" t="n"/>
      <c r="G39" t="n">
        <v>530</v>
      </c>
      <c r="H39" s="5" t="n"/>
      <c r="I39" s="5" t="n"/>
      <c r="J39" s="5" t="n"/>
      <c r="K39" s="5" t="n"/>
    </row>
    <row r="40">
      <c r="B40" t="n">
        <v>535</v>
      </c>
      <c r="C40" s="5" t="n"/>
      <c r="D40" s="5" t="n"/>
      <c r="E40" s="5" t="n"/>
      <c r="F40" s="5" t="n"/>
      <c r="G40" t="n">
        <v>535</v>
      </c>
      <c r="H40" s="5" t="n"/>
      <c r="I40" s="5" t="n"/>
      <c r="J40" s="5" t="n"/>
      <c r="K40" s="5" t="n"/>
    </row>
    <row r="41">
      <c r="B41" t="n">
        <v>540</v>
      </c>
      <c r="C41" s="5" t="n"/>
      <c r="D41" s="5" t="n"/>
      <c r="E41" s="5" t="n"/>
      <c r="F41" s="5" t="n"/>
      <c r="G41" t="n">
        <v>540</v>
      </c>
      <c r="H41" s="5" t="n"/>
      <c r="I41" s="5" t="n"/>
      <c r="J41" s="5" t="n"/>
      <c r="K41" s="5" t="n"/>
    </row>
    <row r="42">
      <c r="B42" t="n">
        <v>545</v>
      </c>
      <c r="C42" s="5" t="n"/>
      <c r="D42" s="5" t="n"/>
      <c r="E42" s="5" t="n"/>
      <c r="F42" s="5" t="n"/>
      <c r="G42" t="n">
        <v>545</v>
      </c>
      <c r="H42" s="5" t="n"/>
      <c r="I42" s="5" t="n"/>
      <c r="J42" s="5" t="n"/>
      <c r="K42" s="5" t="n"/>
    </row>
    <row r="43">
      <c r="B43" t="n">
        <v>550</v>
      </c>
      <c r="C43" s="5" t="n"/>
      <c r="D43" s="5" t="n"/>
      <c r="E43" s="5" t="n"/>
      <c r="F43" s="5" t="n"/>
      <c r="G43" t="n">
        <v>550</v>
      </c>
      <c r="H43" s="5" t="n"/>
      <c r="I43" s="5" t="n"/>
      <c r="J43" s="5" t="n"/>
      <c r="K43" s="5" t="n"/>
    </row>
    <row r="44">
      <c r="B44" t="n">
        <v>555</v>
      </c>
      <c r="C44" s="5" t="n"/>
      <c r="D44" s="5" t="n"/>
      <c r="E44" s="5" t="n"/>
      <c r="F44" s="5" t="n"/>
      <c r="G44" t="n">
        <v>555</v>
      </c>
      <c r="H44" s="5" t="n"/>
      <c r="I44" s="5" t="n"/>
      <c r="J44" s="5" t="n"/>
      <c r="K44" s="5" t="n"/>
    </row>
    <row r="45">
      <c r="B45" t="n">
        <v>560</v>
      </c>
      <c r="C45" s="5" t="n"/>
      <c r="D45" s="5" t="n"/>
      <c r="E45" s="5" t="n"/>
      <c r="F45" s="5" t="n"/>
      <c r="G45" t="n">
        <v>560</v>
      </c>
      <c r="H45" s="5" t="n"/>
      <c r="I45" s="5" t="n"/>
      <c r="J45" s="5" t="n"/>
      <c r="K45" s="5" t="n"/>
    </row>
    <row r="46">
      <c r="B46" t="n">
        <v>565</v>
      </c>
      <c r="C46" s="5" t="n"/>
      <c r="D46" s="5" t="n"/>
      <c r="E46" s="5" t="n"/>
      <c r="F46" s="5" t="n"/>
      <c r="G46" t="n">
        <v>565</v>
      </c>
      <c r="H46" s="5" t="n"/>
      <c r="I46" s="5" t="n"/>
      <c r="J46" s="5" t="n"/>
      <c r="K46" s="5" t="n"/>
    </row>
    <row r="47">
      <c r="B47" t="n">
        <v>570</v>
      </c>
      <c r="C47" s="5" t="n"/>
      <c r="D47" s="5" t="n"/>
      <c r="E47" s="5" t="n"/>
      <c r="F47" s="5" t="n"/>
      <c r="G47" t="n">
        <v>570</v>
      </c>
      <c r="H47" s="5" t="n"/>
      <c r="I47" s="5" t="n"/>
      <c r="J47" s="5" t="n"/>
      <c r="K47" s="5" t="n"/>
    </row>
    <row r="48">
      <c r="B48" t="n">
        <v>575</v>
      </c>
      <c r="C48" s="5" t="n"/>
      <c r="D48" s="5" t="n"/>
      <c r="E48" s="5" t="n"/>
      <c r="F48" s="5" t="n"/>
      <c r="G48" t="n">
        <v>575</v>
      </c>
      <c r="H48" s="5" t="n"/>
      <c r="I48" s="5" t="n"/>
      <c r="J48" s="5" t="n"/>
      <c r="K48" s="5" t="n"/>
    </row>
    <row r="49">
      <c r="B49" t="n">
        <v>580</v>
      </c>
      <c r="C49" s="5" t="n"/>
      <c r="D49" s="5" t="n"/>
      <c r="E49" s="5" t="n"/>
      <c r="F49" s="5" t="n"/>
      <c r="G49" t="n">
        <v>580</v>
      </c>
      <c r="H49" s="5" t="n"/>
      <c r="I49" s="5" t="n"/>
      <c r="J49" s="5" t="n"/>
      <c r="K49" s="5" t="n"/>
    </row>
    <row r="50">
      <c r="B50" t="n">
        <v>585</v>
      </c>
      <c r="C50" s="5" t="n"/>
      <c r="D50" s="5" t="n"/>
      <c r="E50" s="5" t="n"/>
      <c r="F50" s="5" t="n"/>
      <c r="G50" t="n">
        <v>585</v>
      </c>
      <c r="H50" s="5" t="n"/>
      <c r="I50" s="5" t="n"/>
      <c r="J50" s="5" t="n"/>
      <c r="K50" s="5" t="n"/>
    </row>
    <row r="51">
      <c r="B51" t="n">
        <v>590</v>
      </c>
      <c r="C51" s="5" t="n"/>
      <c r="D51" s="5" t="n"/>
      <c r="E51" s="5" t="n"/>
      <c r="F51" s="5" t="n"/>
      <c r="G51" t="n">
        <v>590</v>
      </c>
      <c r="H51" s="5" t="n"/>
      <c r="I51" s="5" t="n"/>
      <c r="J51" s="5" t="n"/>
      <c r="K51" s="5" t="n"/>
    </row>
    <row r="52">
      <c r="B52" t="n">
        <v>595</v>
      </c>
      <c r="C52" s="5" t="n"/>
      <c r="D52" s="5" t="n"/>
      <c r="E52" s="5" t="n"/>
      <c r="F52" s="5" t="n"/>
      <c r="G52" t="n">
        <v>595</v>
      </c>
      <c r="H52" s="5" t="n"/>
      <c r="I52" s="5" t="n"/>
      <c r="J52" s="5" t="n"/>
      <c r="K52" s="5" t="n"/>
    </row>
    <row r="53">
      <c r="B53" t="n">
        <v>600</v>
      </c>
      <c r="C53" s="5" t="n"/>
      <c r="D53" s="5" t="n"/>
      <c r="E53" s="5" t="n"/>
      <c r="F53" s="5" t="n"/>
      <c r="G53" t="n">
        <v>600</v>
      </c>
      <c r="H53" s="5" t="n"/>
      <c r="I53" s="5" t="n"/>
      <c r="J53" s="5" t="n"/>
      <c r="K53" s="5" t="n"/>
    </row>
    <row r="54">
      <c r="B54" t="n">
        <v>605</v>
      </c>
      <c r="C54" s="5" t="n"/>
      <c r="D54" s="5" t="n"/>
      <c r="E54" s="5" t="n"/>
      <c r="F54" s="5" t="n"/>
      <c r="G54" t="n">
        <v>605</v>
      </c>
      <c r="H54" s="5" t="n"/>
      <c r="I54" s="5" t="n"/>
      <c r="J54" s="5" t="n"/>
      <c r="K54" s="5" t="n"/>
    </row>
    <row r="55">
      <c r="B55" t="n">
        <v>610</v>
      </c>
      <c r="C55" s="5" t="n"/>
      <c r="D55" s="5" t="n"/>
      <c r="E55" s="5" t="n"/>
      <c r="F55" s="5" t="n"/>
      <c r="G55" t="n">
        <v>610</v>
      </c>
      <c r="H55" s="5" t="n"/>
      <c r="I55" s="5" t="n"/>
      <c r="J55" s="5" t="n"/>
      <c r="K55" s="5" t="n"/>
    </row>
    <row r="56">
      <c r="B56" t="n">
        <v>615</v>
      </c>
      <c r="C56" s="5" t="n"/>
      <c r="D56" s="5" t="n"/>
      <c r="E56" s="5" t="n"/>
      <c r="F56" s="5" t="n"/>
      <c r="G56" t="n">
        <v>615</v>
      </c>
      <c r="H56" s="5" t="n"/>
      <c r="I56" s="5" t="n"/>
      <c r="J56" s="5" t="n"/>
      <c r="K56" s="5" t="n"/>
    </row>
    <row r="57">
      <c r="B57" t="n">
        <v>620</v>
      </c>
      <c r="C57" s="5" t="n"/>
      <c r="D57" s="5" t="n"/>
      <c r="E57" s="5" t="n"/>
      <c r="F57" s="5" t="n"/>
      <c r="G57" t="n">
        <v>620</v>
      </c>
      <c r="H57" s="5" t="n"/>
      <c r="I57" s="5" t="n"/>
      <c r="J57" s="5" t="n"/>
      <c r="K57" s="5" t="n"/>
    </row>
    <row r="58">
      <c r="B58" t="n">
        <v>625</v>
      </c>
      <c r="C58" s="5" t="n"/>
      <c r="D58" s="5" t="n"/>
      <c r="E58" s="5" t="n"/>
      <c r="F58" s="5" t="n"/>
      <c r="G58" t="n">
        <v>625</v>
      </c>
      <c r="H58" s="5" t="n"/>
      <c r="I58" s="5" t="n"/>
      <c r="J58" s="5" t="n"/>
      <c r="K58" s="5" t="n"/>
    </row>
    <row r="59">
      <c r="B59" t="n">
        <v>630</v>
      </c>
      <c r="C59" s="5" t="n"/>
      <c r="D59" s="5" t="n"/>
      <c r="E59" s="5" t="n"/>
      <c r="F59" s="5" t="n"/>
      <c r="G59" t="n">
        <v>630</v>
      </c>
      <c r="H59" s="5" t="n"/>
      <c r="I59" s="5" t="n"/>
      <c r="J59" s="5" t="n"/>
      <c r="K59" s="5" t="n"/>
    </row>
    <row r="60">
      <c r="B60" t="n">
        <v>635</v>
      </c>
      <c r="C60" s="5" t="n"/>
      <c r="D60" s="5" t="n"/>
      <c r="E60" s="5" t="n"/>
      <c r="F60" s="5" t="n"/>
      <c r="G60" t="n">
        <v>635</v>
      </c>
      <c r="H60" s="5" t="n"/>
      <c r="I60" s="5" t="n"/>
      <c r="J60" s="5" t="n"/>
      <c r="K60" s="5" t="n"/>
    </row>
    <row r="61">
      <c r="B61" t="n">
        <v>640</v>
      </c>
      <c r="C61" s="5" t="n"/>
      <c r="D61" s="5" t="n"/>
      <c r="E61" s="5" t="n"/>
      <c r="F61" s="5" t="n"/>
      <c r="G61" t="n">
        <v>640</v>
      </c>
      <c r="H61" s="5" t="n"/>
      <c r="I61" s="5" t="n"/>
      <c r="J61" s="5" t="n"/>
      <c r="K61" s="5" t="n"/>
    </row>
    <row r="62">
      <c r="B62" t="n">
        <v>645</v>
      </c>
      <c r="C62" s="5" t="n"/>
      <c r="D62" s="5" t="n"/>
      <c r="E62" s="5" t="n"/>
      <c r="F62" s="5" t="n"/>
      <c r="G62" t="n">
        <v>645</v>
      </c>
      <c r="H62" s="5" t="n"/>
      <c r="I62" s="5" t="n"/>
      <c r="J62" s="5" t="n"/>
      <c r="K62" s="5" t="n"/>
    </row>
    <row r="63">
      <c r="B63" t="n">
        <v>650</v>
      </c>
      <c r="C63" s="5" t="n"/>
      <c r="D63" s="5" t="n"/>
      <c r="E63" s="5" t="n"/>
      <c r="F63" s="5" t="n"/>
      <c r="G63" t="n">
        <v>650</v>
      </c>
      <c r="H63" s="5" t="n"/>
      <c r="I63" s="5" t="n"/>
      <c r="J63" s="5" t="n"/>
      <c r="K63" s="5" t="n"/>
    </row>
    <row r="64">
      <c r="B64" t="n">
        <v>655</v>
      </c>
      <c r="C64" s="5" t="n"/>
      <c r="D64" s="5" t="n"/>
      <c r="E64" s="5" t="n"/>
      <c r="F64" s="5" t="n"/>
      <c r="G64" t="n">
        <v>655</v>
      </c>
      <c r="H64" s="5" t="n"/>
      <c r="I64" s="5" t="n"/>
      <c r="J64" s="5" t="n"/>
      <c r="K64" s="5" t="n"/>
    </row>
    <row r="65">
      <c r="B65" t="n">
        <v>660</v>
      </c>
      <c r="C65" s="5" t="n"/>
      <c r="D65" s="5" t="n"/>
      <c r="E65" s="5" t="n"/>
      <c r="F65" s="5" t="n"/>
      <c r="G65" t="n">
        <v>660</v>
      </c>
      <c r="H65" s="5" t="n"/>
      <c r="I65" s="5" t="n"/>
      <c r="J65" s="5" t="n"/>
      <c r="K65" s="5" t="n"/>
    </row>
    <row r="66">
      <c r="B66" t="n">
        <v>665</v>
      </c>
      <c r="C66" s="5" t="n"/>
      <c r="D66" s="5" t="n"/>
      <c r="E66" s="5" t="n"/>
      <c r="F66" s="5" t="n"/>
      <c r="G66" t="n">
        <v>665</v>
      </c>
      <c r="H66" s="5" t="n"/>
      <c r="I66" s="5" t="n"/>
      <c r="J66" s="5" t="n"/>
      <c r="K66" s="5" t="n"/>
    </row>
    <row r="67">
      <c r="B67" t="n">
        <v>670</v>
      </c>
      <c r="C67" s="5" t="n"/>
      <c r="D67" s="5" t="n"/>
      <c r="E67" s="5" t="n"/>
      <c r="F67" s="5" t="n"/>
      <c r="G67" t="n">
        <v>670</v>
      </c>
      <c r="H67" s="5" t="n"/>
      <c r="I67" s="5" t="n"/>
      <c r="J67" s="5" t="n"/>
      <c r="K67" s="5" t="n"/>
    </row>
    <row r="68">
      <c r="B68" t="n">
        <v>675</v>
      </c>
      <c r="C68" s="5" t="n"/>
      <c r="D68" s="5" t="n"/>
      <c r="E68" s="5" t="n"/>
      <c r="F68" s="5" t="n"/>
      <c r="G68" t="n">
        <v>675</v>
      </c>
      <c r="H68" s="5" t="n"/>
      <c r="I68" s="5" t="n"/>
      <c r="J68" s="5" t="n"/>
      <c r="K68" s="5" t="n"/>
    </row>
    <row r="69">
      <c r="B69" t="n">
        <v>680</v>
      </c>
      <c r="C69" s="5" t="n"/>
      <c r="D69" s="5" t="n"/>
      <c r="E69" s="5" t="n"/>
      <c r="F69" s="5" t="n"/>
      <c r="G69" t="n">
        <v>680</v>
      </c>
      <c r="H69" s="5" t="n"/>
      <c r="I69" s="5" t="n"/>
      <c r="J69" s="5" t="n"/>
      <c r="K69" s="5" t="n"/>
    </row>
    <row r="70">
      <c r="B70" t="n">
        <v>685</v>
      </c>
      <c r="C70" s="5" t="n"/>
      <c r="D70" s="5" t="n"/>
      <c r="E70" s="5" t="n"/>
      <c r="F70" s="5" t="n"/>
      <c r="G70" t="n">
        <v>685</v>
      </c>
      <c r="H70" s="5" t="n"/>
      <c r="I70" s="5" t="n"/>
      <c r="J70" s="5" t="n"/>
      <c r="K70" s="5" t="n"/>
    </row>
    <row r="71">
      <c r="B71" t="n">
        <v>690</v>
      </c>
      <c r="C71" s="5" t="n"/>
      <c r="D71" s="5" t="n"/>
      <c r="E71" s="5" t="n"/>
      <c r="F71" s="5" t="n"/>
      <c r="G71" t="n">
        <v>690</v>
      </c>
      <c r="H71" s="5" t="n"/>
      <c r="I71" s="5" t="n"/>
      <c r="J71" s="5" t="n"/>
      <c r="K71" s="5" t="n"/>
    </row>
    <row r="72">
      <c r="B72" t="n">
        <v>695</v>
      </c>
      <c r="C72" s="5" t="n"/>
      <c r="D72" s="5" t="n"/>
      <c r="E72" s="5" t="n"/>
      <c r="F72" s="5" t="n"/>
      <c r="G72" t="n">
        <v>695</v>
      </c>
      <c r="H72" s="5" t="n"/>
      <c r="I72" s="5" t="n"/>
      <c r="J72" s="5" t="n"/>
      <c r="K72" s="5" t="n"/>
    </row>
    <row r="73">
      <c r="B73" t="n">
        <v>700</v>
      </c>
      <c r="C73" s="5" t="n"/>
      <c r="D73" s="5" t="n"/>
      <c r="E73" s="5" t="n"/>
      <c r="F73" s="5" t="n"/>
      <c r="G73" t="n">
        <v>700</v>
      </c>
      <c r="H73" s="5" t="n"/>
      <c r="I73" s="5" t="n"/>
      <c r="J73" s="5" t="n"/>
      <c r="K73" s="5" t="n"/>
    </row>
    <row r="74">
      <c r="B74" t="n">
        <v>705</v>
      </c>
      <c r="C74" s="5" t="n"/>
      <c r="D74" s="5" t="n"/>
      <c r="E74" s="5" t="n"/>
      <c r="F74" s="5" t="n"/>
      <c r="G74" t="n">
        <v>705</v>
      </c>
      <c r="H74" s="5" t="n"/>
      <c r="I74" s="5" t="n"/>
      <c r="J74" s="5" t="n"/>
      <c r="K74" s="5" t="n"/>
    </row>
    <row r="75">
      <c r="B75" t="n">
        <v>710</v>
      </c>
      <c r="C75" s="5" t="n"/>
      <c r="D75" s="5" t="n"/>
      <c r="E75" s="5" t="n"/>
      <c r="F75" s="5" t="n"/>
      <c r="G75" t="n">
        <v>710</v>
      </c>
      <c r="H75" s="5" t="n"/>
      <c r="I75" s="5" t="n"/>
      <c r="J75" s="5" t="n"/>
      <c r="K75" s="5" t="n"/>
    </row>
    <row r="76">
      <c r="B76" t="n">
        <v>715</v>
      </c>
      <c r="C76" s="5" t="n"/>
      <c r="D76" s="5" t="n"/>
      <c r="E76" s="5" t="n"/>
      <c r="F76" s="5" t="n"/>
      <c r="G76" t="n">
        <v>715</v>
      </c>
      <c r="H76" s="5" t="n"/>
      <c r="I76" s="5" t="n"/>
      <c r="J76" s="5" t="n"/>
      <c r="K76" s="5" t="n"/>
    </row>
    <row r="77">
      <c r="B77" t="n">
        <v>720</v>
      </c>
      <c r="C77" s="5" t="n"/>
      <c r="D77" s="5" t="n"/>
      <c r="E77" s="5" t="n"/>
      <c r="F77" s="5" t="n"/>
      <c r="G77" t="n">
        <v>720</v>
      </c>
      <c r="H77" s="5" t="n"/>
      <c r="I77" s="5" t="n"/>
      <c r="J77" s="5" t="n"/>
      <c r="K77" s="5" t="n"/>
    </row>
    <row r="78">
      <c r="B78" t="n">
        <v>725</v>
      </c>
      <c r="C78" s="5" t="n"/>
      <c r="D78" s="5" t="n"/>
      <c r="E78" s="5" t="n"/>
      <c r="F78" s="5" t="n"/>
      <c r="G78" t="n">
        <v>725</v>
      </c>
      <c r="H78" s="5" t="n"/>
      <c r="I78" s="5" t="n"/>
      <c r="J78" s="5" t="n"/>
      <c r="K78" s="5" t="n"/>
    </row>
    <row r="79">
      <c r="B79" t="n">
        <v>730</v>
      </c>
      <c r="C79" s="5" t="n"/>
      <c r="D79" s="5" t="n"/>
      <c r="E79" s="5" t="n"/>
      <c r="F79" s="5" t="n"/>
      <c r="G79" t="n">
        <v>730</v>
      </c>
      <c r="H79" s="5" t="n"/>
      <c r="I79" s="5" t="n"/>
      <c r="J79" s="5" t="n"/>
      <c r="K79" s="5" t="n"/>
    </row>
    <row r="80">
      <c r="B80" t="n">
        <v>735</v>
      </c>
      <c r="C80" s="5" t="n"/>
      <c r="D80" s="5" t="n"/>
      <c r="E80" s="5" t="n"/>
      <c r="F80" s="5" t="n"/>
      <c r="G80" t="n">
        <v>735</v>
      </c>
      <c r="H80" s="5" t="n"/>
      <c r="I80" s="5" t="n"/>
      <c r="J80" s="5" t="n"/>
      <c r="K80" s="5" t="n"/>
    </row>
    <row r="81">
      <c r="B81" t="n">
        <v>740</v>
      </c>
      <c r="C81" s="5" t="n"/>
      <c r="D81" s="5" t="n"/>
      <c r="E81" s="5" t="n"/>
      <c r="F81" s="5" t="n"/>
      <c r="G81" t="n">
        <v>740</v>
      </c>
      <c r="H81" s="5" t="n"/>
      <c r="I81" s="5" t="n"/>
      <c r="J81" s="5" t="n"/>
      <c r="K81" s="5" t="n"/>
    </row>
    <row r="82">
      <c r="B82" t="n">
        <v>745</v>
      </c>
      <c r="C82" s="5" t="n"/>
      <c r="D82" s="5" t="n"/>
      <c r="E82" s="5" t="n"/>
      <c r="F82" s="5" t="n"/>
      <c r="G82" t="n">
        <v>745</v>
      </c>
      <c r="H82" s="5" t="n"/>
      <c r="I82" s="5" t="n"/>
      <c r="J82" s="5" t="n"/>
      <c r="K82" s="5" t="n"/>
    </row>
    <row r="83">
      <c r="B83" t="n">
        <v>750</v>
      </c>
      <c r="C83" s="5" t="n"/>
      <c r="D83" s="5" t="n"/>
      <c r="E83" s="5" t="n"/>
      <c r="F83" s="5" t="n"/>
      <c r="G83" t="n">
        <v>750</v>
      </c>
      <c r="H83" s="5" t="n"/>
      <c r="I83" s="5" t="n"/>
      <c r="J83" s="5" t="n"/>
      <c r="K83" s="5" t="n"/>
    </row>
    <row r="84">
      <c r="B84" t="n">
        <v>755</v>
      </c>
      <c r="C84" s="5" t="n"/>
      <c r="D84" s="5" t="n"/>
      <c r="E84" s="5" t="n"/>
      <c r="F84" s="5" t="n"/>
      <c r="G84" t="n">
        <v>755</v>
      </c>
      <c r="H84" s="5" t="n"/>
      <c r="I84" s="5" t="n"/>
      <c r="J84" s="5" t="n"/>
      <c r="K84" s="5" t="n"/>
    </row>
    <row r="85">
      <c r="B85" t="n">
        <v>760</v>
      </c>
      <c r="C85" s="5" t="n"/>
      <c r="D85" s="5" t="n"/>
      <c r="E85" s="5" t="n"/>
      <c r="F85" s="5" t="n"/>
      <c r="G85" t="n">
        <v>760</v>
      </c>
      <c r="H85" s="5" t="n"/>
      <c r="I85" s="5" t="n"/>
      <c r="J85" s="5" t="n"/>
      <c r="K85" s="5" t="n"/>
    </row>
    <row r="86">
      <c r="B86" t="n">
        <v>765</v>
      </c>
      <c r="C86" s="5" t="n"/>
      <c r="D86" s="5" t="n"/>
      <c r="E86" s="5" t="n"/>
      <c r="F86" s="5" t="n"/>
      <c r="G86" t="n">
        <v>765</v>
      </c>
      <c r="H86" s="5" t="n"/>
      <c r="I86" s="5" t="n"/>
      <c r="J86" s="5" t="n"/>
      <c r="K86" s="5" t="n"/>
    </row>
    <row r="87">
      <c r="B87" t="n">
        <v>770</v>
      </c>
      <c r="C87" s="5" t="n"/>
      <c r="D87" s="5" t="n"/>
      <c r="E87" s="5" t="n"/>
      <c r="F87" s="5" t="n"/>
      <c r="G87" t="n">
        <v>770</v>
      </c>
      <c r="H87" s="5" t="n"/>
      <c r="I87" s="5" t="n"/>
      <c r="J87" s="5" t="n"/>
      <c r="K87" s="5" t="n"/>
    </row>
    <row r="88">
      <c r="B88" t="n">
        <v>775</v>
      </c>
      <c r="C88" s="5" t="n"/>
      <c r="D88" s="5" t="n"/>
      <c r="E88" s="5" t="n"/>
      <c r="F88" s="5" t="n"/>
      <c r="G88" t="n">
        <v>775</v>
      </c>
      <c r="H88" s="5" t="n"/>
      <c r="I88" s="5" t="n"/>
      <c r="J88" s="5" t="n"/>
      <c r="K88" s="5" t="n"/>
    </row>
    <row r="89">
      <c r="B89" t="n">
        <v>780</v>
      </c>
      <c r="C89" s="5" t="n"/>
      <c r="D89" s="5" t="n"/>
      <c r="E89" s="5" t="n"/>
      <c r="F89" s="5" t="n"/>
      <c r="G89" t="n">
        <v>780</v>
      </c>
      <c r="H89" s="5" t="n"/>
      <c r="I89" s="5" t="n"/>
      <c r="J89" s="5" t="n"/>
      <c r="K89" s="5" t="n"/>
    </row>
  </sheetData>
  <dataValidations count="2">
    <dataValidation sqref="C4 H4" showDropDown="0" showInputMessage="0" showErrorMessage="0" allowBlank="0" type="list">
      <formula1>"CIE 1931 2deg,CIE 1964 10deg,CIE 2015 2deg,Pasted below"</formula1>
    </dataValidation>
    <dataValidation sqref="C5 H5" showDropDown="0" showInputMessage="0" showErrorMessage="0" allowBlank="0" type="list">
      <formula1>"A,C,D50,D65,E,F2,F11,Pasted below"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40 base reflectances (Munsell Value 5 / Chroma 6) and their reference p, t (Technical annex A.4).</t>
        </is>
      </c>
    </row>
    <row r="4">
      <c r="B4" t="inlineStr">
        <is>
          <t>nm</t>
        </is>
      </c>
      <c r="C4" t="inlineStr">
        <is>
          <t>2.5B 5/6</t>
        </is>
      </c>
      <c r="D4" t="inlineStr">
        <is>
          <t>2.5BG 5/6</t>
        </is>
      </c>
      <c r="E4" t="inlineStr">
        <is>
          <t>2.5G 5/6</t>
        </is>
      </c>
      <c r="F4" t="inlineStr">
        <is>
          <t>2.5GY 5/6</t>
        </is>
      </c>
      <c r="G4" t="inlineStr">
        <is>
          <t>2.5PB 5/6</t>
        </is>
      </c>
      <c r="H4" t="inlineStr">
        <is>
          <t>2.5P 5/6</t>
        </is>
      </c>
      <c r="I4" t="inlineStr">
        <is>
          <t>2.5RP 5/6</t>
        </is>
      </c>
      <c r="J4" t="inlineStr">
        <is>
          <t>2.5R 5/6</t>
        </is>
      </c>
      <c r="K4" t="inlineStr">
        <is>
          <t>2.5YR 5/6</t>
        </is>
      </c>
      <c r="L4" t="inlineStr">
        <is>
          <t>2.5Y 5/6</t>
        </is>
      </c>
      <c r="M4" t="inlineStr">
        <is>
          <t>5B 5/6</t>
        </is>
      </c>
      <c r="N4" t="inlineStr">
        <is>
          <t>5BG 5/6</t>
        </is>
      </c>
      <c r="O4" t="inlineStr">
        <is>
          <t>5G 5/6</t>
        </is>
      </c>
      <c r="P4" t="inlineStr">
        <is>
          <t>5GY 5/6</t>
        </is>
      </c>
      <c r="Q4" t="inlineStr">
        <is>
          <t>5PB 5/6</t>
        </is>
      </c>
      <c r="R4" t="inlineStr">
        <is>
          <t>5P 5/6</t>
        </is>
      </c>
      <c r="S4" t="inlineStr">
        <is>
          <t>5RP 5/6</t>
        </is>
      </c>
      <c r="T4" t="inlineStr">
        <is>
          <t>5R 5/6</t>
        </is>
      </c>
      <c r="U4" t="inlineStr">
        <is>
          <t>5YR 5/6</t>
        </is>
      </c>
      <c r="V4" t="inlineStr">
        <is>
          <t>5Y 5/6</t>
        </is>
      </c>
      <c r="W4" t="inlineStr">
        <is>
          <t>7.5B 5/6</t>
        </is>
      </c>
      <c r="X4" t="inlineStr">
        <is>
          <t>7.5BG 5/6</t>
        </is>
      </c>
      <c r="Y4" t="inlineStr">
        <is>
          <t>7.5G 5/6</t>
        </is>
      </c>
      <c r="Z4" t="inlineStr">
        <is>
          <t>7.5GY 5/6</t>
        </is>
      </c>
      <c r="AA4" t="inlineStr">
        <is>
          <t>7.5PB 5/6</t>
        </is>
      </c>
      <c r="AB4" t="inlineStr">
        <is>
          <t>7.5P 5/6</t>
        </is>
      </c>
      <c r="AC4" t="inlineStr">
        <is>
          <t>7.5RP 5/6</t>
        </is>
      </c>
      <c r="AD4" t="inlineStr">
        <is>
          <t>7.5R 5/6</t>
        </is>
      </c>
      <c r="AE4" t="inlineStr">
        <is>
          <t>7.5YR 5/6</t>
        </is>
      </c>
      <c r="AF4" t="inlineStr">
        <is>
          <t>7.5Y 5/6</t>
        </is>
      </c>
      <c r="AG4" t="inlineStr">
        <is>
          <t>10B 5/6</t>
        </is>
      </c>
      <c r="AH4" t="inlineStr">
        <is>
          <t>10BG 5/6</t>
        </is>
      </c>
      <c r="AI4" t="inlineStr">
        <is>
          <t>10G 5/6</t>
        </is>
      </c>
      <c r="AJ4" t="inlineStr">
        <is>
          <t>10GY 5/6</t>
        </is>
      </c>
      <c r="AK4" t="inlineStr">
        <is>
          <t>10PB 5/6</t>
        </is>
      </c>
      <c r="AL4" t="inlineStr">
        <is>
          <t>10P 5/6</t>
        </is>
      </c>
      <c r="AM4" t="inlineStr">
        <is>
          <t>10RP 5/6</t>
        </is>
      </c>
      <c r="AN4" t="inlineStr">
        <is>
          <t>10R 5/6</t>
        </is>
      </c>
      <c r="AO4" t="inlineStr">
        <is>
          <t>10YR 5/6</t>
        </is>
      </c>
      <c r="AP4" t="inlineStr">
        <is>
          <t>10Y 5/6</t>
        </is>
      </c>
    </row>
    <row r="5">
      <c r="B5" t="n">
        <v>380</v>
      </c>
      <c r="C5" t="n">
        <v>0.08754887421</v>
      </c>
      <c r="D5" t="n">
        <v>0.07061577455</v>
      </c>
      <c r="E5" t="n">
        <v>0.07265424215000001</v>
      </c>
      <c r="F5" t="n">
        <v>0.04394507222</v>
      </c>
      <c r="G5" t="n">
        <v>0.134449723</v>
      </c>
      <c r="H5" t="n">
        <v>0.170901731</v>
      </c>
      <c r="I5" t="n">
        <v>0.1441644296</v>
      </c>
      <c r="J5" t="n">
        <v>0.1275131287</v>
      </c>
      <c r="K5" t="n">
        <v>0.08953363968</v>
      </c>
      <c r="L5" t="n">
        <v>0.04650443147</v>
      </c>
      <c r="M5" t="n">
        <v>0.09866464095999999</v>
      </c>
      <c r="N5" t="n">
        <v>0.06784482243000001</v>
      </c>
      <c r="O5" t="n">
        <v>0.06965127648</v>
      </c>
      <c r="P5" t="n">
        <v>0.04944294619</v>
      </c>
      <c r="Q5" t="n">
        <v>0.148814738</v>
      </c>
      <c r="R5" t="n">
        <v>0.1688318103</v>
      </c>
      <c r="S5" t="n">
        <v>0.1357075982</v>
      </c>
      <c r="T5" t="n">
        <v>0.1179621565</v>
      </c>
      <c r="U5" t="n">
        <v>0.0757463258</v>
      </c>
      <c r="V5" t="n">
        <v>0.03957048417</v>
      </c>
      <c r="W5" t="n">
        <v>0.1085655899</v>
      </c>
      <c r="X5" t="n">
        <v>0.07053930497999999</v>
      </c>
      <c r="Y5" t="n">
        <v>0.0725524</v>
      </c>
      <c r="Z5" t="n">
        <v>0.0631642628</v>
      </c>
      <c r="AA5" t="n">
        <v>0.1653949442</v>
      </c>
      <c r="AB5" t="n">
        <v>0.1551882104</v>
      </c>
      <c r="AC5" t="n">
        <v>0.1384444978</v>
      </c>
      <c r="AD5" t="n">
        <v>0.1116828991</v>
      </c>
      <c r="AE5" t="n">
        <v>0.06530961162</v>
      </c>
      <c r="AF5" t="n">
        <v>0.03668713726</v>
      </c>
      <c r="AG5" t="n">
        <v>0.1208201953</v>
      </c>
      <c r="AH5" t="n">
        <v>0.07643438245</v>
      </c>
      <c r="AI5" t="n">
        <v>0.07137710580999999</v>
      </c>
      <c r="AJ5" t="n">
        <v>0.07859516537</v>
      </c>
      <c r="AK5" t="n">
        <v>0.1696080124</v>
      </c>
      <c r="AL5" t="n">
        <v>0.1456274326</v>
      </c>
      <c r="AM5" t="n">
        <v>0.1378012583</v>
      </c>
      <c r="AN5" t="n">
        <v>0.1009871519</v>
      </c>
      <c r="AO5" t="n">
        <v>0.05565312221</v>
      </c>
      <c r="AP5" t="n">
        <v>0.03817242804</v>
      </c>
    </row>
    <row r="6">
      <c r="B6" t="n">
        <v>385</v>
      </c>
      <c r="C6" t="n">
        <v>0.08912257883999999</v>
      </c>
      <c r="D6" t="n">
        <v>0.07101322246</v>
      </c>
      <c r="E6" t="n">
        <v>0.07497062901</v>
      </c>
      <c r="F6" t="n">
        <v>0.043979868</v>
      </c>
      <c r="G6" t="n">
        <v>0.1453281395</v>
      </c>
      <c r="H6" t="n">
        <v>0.1858654419</v>
      </c>
      <c r="I6" t="n">
        <v>0.1469705165</v>
      </c>
      <c r="J6" t="n">
        <v>0.1286876113</v>
      </c>
      <c r="K6" t="n">
        <v>0.08969375774</v>
      </c>
      <c r="L6" t="n">
        <v>0.04683979842</v>
      </c>
      <c r="M6" t="n">
        <v>0.1057675015</v>
      </c>
      <c r="N6" t="n">
        <v>0.0737865256</v>
      </c>
      <c r="O6" t="n">
        <v>0.07451917845</v>
      </c>
      <c r="P6" t="n">
        <v>0.049443242</v>
      </c>
      <c r="Q6" t="n">
        <v>0.1577607358</v>
      </c>
      <c r="R6" t="n">
        <v>0.1716957087</v>
      </c>
      <c r="S6" t="n">
        <v>0.1435983392</v>
      </c>
      <c r="T6" t="n">
        <v>0.1196133623</v>
      </c>
      <c r="U6" t="n">
        <v>0.07579202124999999</v>
      </c>
      <c r="V6" t="n">
        <v>0.04007712834</v>
      </c>
      <c r="W6" t="n">
        <v>0.1180055785</v>
      </c>
      <c r="X6" t="n">
        <v>0.07325997901</v>
      </c>
      <c r="Y6" t="n">
        <v>0.07330150192</v>
      </c>
      <c r="Z6" t="n">
        <v>0.06316444914</v>
      </c>
      <c r="AA6" t="n">
        <v>0.170783579</v>
      </c>
      <c r="AB6" t="n">
        <v>0.1617861495</v>
      </c>
      <c r="AC6" t="n">
        <v>0.1443041881</v>
      </c>
      <c r="AD6" t="n">
        <v>0.1133161868</v>
      </c>
      <c r="AE6" t="n">
        <v>0.06533334816</v>
      </c>
      <c r="AF6" t="n">
        <v>0.03691875228</v>
      </c>
      <c r="AG6" t="n">
        <v>0.1278011414</v>
      </c>
      <c r="AH6" t="n">
        <v>0.08331558708</v>
      </c>
      <c r="AI6" t="n">
        <v>0.07668931873</v>
      </c>
      <c r="AJ6" t="n">
        <v>0.07865495019</v>
      </c>
      <c r="AK6" t="n">
        <v>0.1722530561</v>
      </c>
      <c r="AL6" t="n">
        <v>0.1534840585</v>
      </c>
      <c r="AM6" t="n">
        <v>0.1403994029</v>
      </c>
      <c r="AN6" t="n">
        <v>0.1018662631</v>
      </c>
      <c r="AO6" t="n">
        <v>0.05581902187</v>
      </c>
      <c r="AP6" t="n">
        <v>0.03828879003</v>
      </c>
    </row>
    <row r="7">
      <c r="B7" t="n">
        <v>390</v>
      </c>
      <c r="C7" t="n">
        <v>0.1127836679</v>
      </c>
      <c r="D7" t="n">
        <v>0.08894305867000001</v>
      </c>
      <c r="E7" t="n">
        <v>0.07728701586</v>
      </c>
      <c r="F7" t="n">
        <v>0.04401466378</v>
      </c>
      <c r="G7" t="n">
        <v>0.156206556</v>
      </c>
      <c r="H7" t="n">
        <v>0.2008291529</v>
      </c>
      <c r="I7" t="n">
        <v>0.1679306455</v>
      </c>
      <c r="J7" t="n">
        <v>0.1410892268</v>
      </c>
      <c r="K7" t="n">
        <v>0.0898538758</v>
      </c>
      <c r="L7" t="n">
        <v>0.04717503192</v>
      </c>
      <c r="M7" t="n">
        <v>0.1164694752</v>
      </c>
      <c r="N7" t="n">
        <v>0.0950080945</v>
      </c>
      <c r="O7" t="n">
        <v>0.07938708041</v>
      </c>
      <c r="P7" t="n">
        <v>0.04944353782</v>
      </c>
      <c r="Q7" t="n">
        <v>0.1675505089</v>
      </c>
      <c r="R7" t="n">
        <v>0.1774608937</v>
      </c>
      <c r="S7" t="n">
        <v>0.1539471194</v>
      </c>
      <c r="T7" t="n">
        <v>0.1292522296</v>
      </c>
      <c r="U7" t="n">
        <v>0.07583771669</v>
      </c>
      <c r="V7" t="n">
        <v>0.0405837505</v>
      </c>
      <c r="W7" t="n">
        <v>0.1274455672</v>
      </c>
      <c r="X7" t="n">
        <v>0.09797536169</v>
      </c>
      <c r="Y7" t="n">
        <v>0.07405060384000001</v>
      </c>
      <c r="Z7" t="n">
        <v>0.06316463547999999</v>
      </c>
      <c r="AA7" t="n">
        <v>0.1996688305</v>
      </c>
      <c r="AB7" t="n">
        <v>0.1963455983</v>
      </c>
      <c r="AC7" t="n">
        <v>0.1573569995</v>
      </c>
      <c r="AD7" t="n">
        <v>0.1206367067</v>
      </c>
      <c r="AE7" t="n">
        <v>0.0653570847</v>
      </c>
      <c r="AF7" t="n">
        <v>0.03715036729</v>
      </c>
      <c r="AG7" t="n">
        <v>0.1347820875</v>
      </c>
      <c r="AH7" t="n">
        <v>0.1110020109</v>
      </c>
      <c r="AI7" t="n">
        <v>0.08200153165</v>
      </c>
      <c r="AJ7" t="n">
        <v>0.07871473499999999</v>
      </c>
      <c r="AK7" t="n">
        <v>0.1762625975</v>
      </c>
      <c r="AL7" t="n">
        <v>0.1645861578</v>
      </c>
      <c r="AM7" t="n">
        <v>0.1523610288</v>
      </c>
      <c r="AN7" t="n">
        <v>0.1047184401</v>
      </c>
      <c r="AO7" t="n">
        <v>0.05598492152</v>
      </c>
      <c r="AP7" t="n">
        <v>0.03840515203</v>
      </c>
    </row>
    <row r="8">
      <c r="B8" t="n">
        <v>395</v>
      </c>
      <c r="C8" t="n">
        <v>0.1447528086</v>
      </c>
      <c r="D8" t="n">
        <v>0.1083592111</v>
      </c>
      <c r="E8" t="n">
        <v>0.07971396618</v>
      </c>
      <c r="F8" t="n">
        <v>0.04404945955</v>
      </c>
      <c r="G8" t="n">
        <v>0.1968188466</v>
      </c>
      <c r="H8" t="n">
        <v>0.2183781105</v>
      </c>
      <c r="I8" t="n">
        <v>0.1996542515</v>
      </c>
      <c r="J8" t="n">
        <v>0.1545892987</v>
      </c>
      <c r="K8" t="n">
        <v>0.09001399386</v>
      </c>
      <c r="L8" t="n">
        <v>0.04751013547</v>
      </c>
      <c r="M8" t="n">
        <v>0.1476138095</v>
      </c>
      <c r="N8" t="n">
        <v>0.1190586809</v>
      </c>
      <c r="O8" t="n">
        <v>0.09225479928999999</v>
      </c>
      <c r="P8" t="n">
        <v>0.04944383363</v>
      </c>
      <c r="Q8" t="n">
        <v>0.2106633956</v>
      </c>
      <c r="R8" t="n">
        <v>0.2256766538</v>
      </c>
      <c r="S8" t="n">
        <v>0.1833801657</v>
      </c>
      <c r="T8" t="n">
        <v>0.1397153487</v>
      </c>
      <c r="U8" t="n">
        <v>0.07588341214</v>
      </c>
      <c r="V8" t="n">
        <v>0.04109035122</v>
      </c>
      <c r="W8" t="n">
        <v>0.1582625845</v>
      </c>
      <c r="X8" t="n">
        <v>0.1272166448</v>
      </c>
      <c r="Y8" t="n">
        <v>0.08806749542</v>
      </c>
      <c r="Z8" t="n">
        <v>0.06316482180999999</v>
      </c>
      <c r="AA8" t="n">
        <v>0.2419288624</v>
      </c>
      <c r="AB8" t="n">
        <v>0.2401796023</v>
      </c>
      <c r="AC8" t="n">
        <v>0.1797817193</v>
      </c>
      <c r="AD8" t="n">
        <v>0.127691125</v>
      </c>
      <c r="AE8" t="n">
        <v>0.06538082124</v>
      </c>
      <c r="AF8" t="n">
        <v>0.03738198231</v>
      </c>
      <c r="AG8" t="n">
        <v>0.1654612754</v>
      </c>
      <c r="AH8" t="n">
        <v>0.143509832</v>
      </c>
      <c r="AI8" t="n">
        <v>0.1000265331</v>
      </c>
      <c r="AJ8" t="n">
        <v>0.07877451982</v>
      </c>
      <c r="AK8" t="n">
        <v>0.2158888035</v>
      </c>
      <c r="AL8" t="n">
        <v>0.2048542534</v>
      </c>
      <c r="AM8" t="n">
        <v>0.1685673777</v>
      </c>
      <c r="AN8" t="n">
        <v>0.1071612886</v>
      </c>
      <c r="AO8" t="n">
        <v>0.05615082117</v>
      </c>
      <c r="AP8" t="n">
        <v>0.03852151402</v>
      </c>
    </row>
    <row r="9">
      <c r="B9" t="n">
        <v>400</v>
      </c>
      <c r="C9" t="n">
        <v>0.1793149312</v>
      </c>
      <c r="D9" t="n">
        <v>0.1240461551</v>
      </c>
      <c r="E9" t="n">
        <v>0.08502299849</v>
      </c>
      <c r="F9" t="n">
        <v>0.04408425533</v>
      </c>
      <c r="G9" t="n">
        <v>0.242517909</v>
      </c>
      <c r="H9" t="n">
        <v>0.2730790883</v>
      </c>
      <c r="I9" t="n">
        <v>0.2329736877</v>
      </c>
      <c r="J9" t="n">
        <v>0.1632042887</v>
      </c>
      <c r="K9" t="n">
        <v>0.09017411191999999</v>
      </c>
      <c r="L9" t="n">
        <v>0.04784511245</v>
      </c>
      <c r="M9" t="n">
        <v>0.1831212934</v>
      </c>
      <c r="N9" t="n">
        <v>0.1384260533</v>
      </c>
      <c r="O9" t="n">
        <v>0.1016213405</v>
      </c>
      <c r="P9" t="n">
        <v>0.04944412944</v>
      </c>
      <c r="Q9" t="n">
        <v>0.2586558369</v>
      </c>
      <c r="R9" t="n">
        <v>0.2800990777</v>
      </c>
      <c r="S9" t="n">
        <v>0.209292927</v>
      </c>
      <c r="T9" t="n">
        <v>0.1456522371</v>
      </c>
      <c r="U9" t="n">
        <v>0.07592910759</v>
      </c>
      <c r="V9" t="n">
        <v>0.04159693106</v>
      </c>
      <c r="W9" t="n">
        <v>0.1943532488</v>
      </c>
      <c r="X9" t="n">
        <v>0.1515247006</v>
      </c>
      <c r="Y9" t="n">
        <v>0.09771616369</v>
      </c>
      <c r="Z9" t="n">
        <v>0.06316500814999999</v>
      </c>
      <c r="AA9" t="n">
        <v>0.2843582624</v>
      </c>
      <c r="AB9" t="n">
        <v>0.2814011598</v>
      </c>
      <c r="AC9" t="n">
        <v>0.1970614369</v>
      </c>
      <c r="AD9" t="n">
        <v>0.1306162464</v>
      </c>
      <c r="AE9" t="n">
        <v>0.06540455778</v>
      </c>
      <c r="AF9" t="n">
        <v>0.03761359733</v>
      </c>
      <c r="AG9" t="n">
        <v>0.2033945137</v>
      </c>
      <c r="AH9" t="n">
        <v>0.1742389984</v>
      </c>
      <c r="AI9" t="n">
        <v>0.11456201</v>
      </c>
      <c r="AJ9" t="n">
        <v>0.07891248106</v>
      </c>
      <c r="AK9" t="n">
        <v>0.2627729301</v>
      </c>
      <c r="AL9" t="n">
        <v>0.2462410447</v>
      </c>
      <c r="AM9" t="n">
        <v>0.1793109719</v>
      </c>
      <c r="AN9" t="n">
        <v>0.1078194392</v>
      </c>
      <c r="AO9" t="n">
        <v>0.05631672083</v>
      </c>
      <c r="AP9" t="n">
        <v>0.03863787602</v>
      </c>
    </row>
    <row r="10">
      <c r="B10" t="n">
        <v>405</v>
      </c>
      <c r="C10" t="n">
        <v>0.2068744254</v>
      </c>
      <c r="D10" t="n">
        <v>0.1332340295</v>
      </c>
      <c r="E10" t="n">
        <v>0.08788973606</v>
      </c>
      <c r="F10" t="n">
        <v>0.04411905111</v>
      </c>
      <c r="G10" t="n">
        <v>0.2814763718</v>
      </c>
      <c r="H10" t="n">
        <v>0.3186213274</v>
      </c>
      <c r="I10" t="n">
        <v>0.2558628562</v>
      </c>
      <c r="J10" t="n">
        <v>0.167017815</v>
      </c>
      <c r="K10" t="n">
        <v>0.09052383324</v>
      </c>
      <c r="L10" t="n">
        <v>0.04805417677</v>
      </c>
      <c r="M10" t="n">
        <v>0.2142211509</v>
      </c>
      <c r="N10" t="n">
        <v>0.1517314329</v>
      </c>
      <c r="O10" t="n">
        <v>0.1074325462</v>
      </c>
      <c r="P10" t="n">
        <v>0.04944442525</v>
      </c>
      <c r="Q10" t="n">
        <v>0.299056896</v>
      </c>
      <c r="R10" t="n">
        <v>0.3235320957</v>
      </c>
      <c r="S10" t="n">
        <v>0.2241718688</v>
      </c>
      <c r="T10" t="n">
        <v>0.1483135238</v>
      </c>
      <c r="U10" t="n">
        <v>0.07604642515</v>
      </c>
      <c r="V10" t="n">
        <v>0.0423710514</v>
      </c>
      <c r="W10" t="n">
        <v>0.2296302593</v>
      </c>
      <c r="X10" t="n">
        <v>0.1663411395</v>
      </c>
      <c r="Y10" t="n">
        <v>0.103596012</v>
      </c>
      <c r="Z10" t="n">
        <v>0.06316519448000001</v>
      </c>
      <c r="AA10" t="n">
        <v>0.3178238624</v>
      </c>
      <c r="AB10" t="n">
        <v>0.3038981175</v>
      </c>
      <c r="AC10" t="n">
        <v>0.2056402349</v>
      </c>
      <c r="AD10" t="n">
        <v>0.131402389</v>
      </c>
      <c r="AE10" t="n">
        <v>0.06538788481</v>
      </c>
      <c r="AF10" t="n">
        <v>0.03869815172</v>
      </c>
      <c r="AG10" t="n">
        <v>0.241505419</v>
      </c>
      <c r="AH10" t="n">
        <v>0.1942136961</v>
      </c>
      <c r="AI10" t="n">
        <v>0.1229689655</v>
      </c>
      <c r="AJ10" t="n">
        <v>0.07898668403</v>
      </c>
      <c r="AK10" t="n">
        <v>0.3049555253</v>
      </c>
      <c r="AL10" t="n">
        <v>0.2775305414</v>
      </c>
      <c r="AM10" t="n">
        <v>0.1832833328</v>
      </c>
      <c r="AN10" t="n">
        <v>0.1079395072</v>
      </c>
      <c r="AO10" t="n">
        <v>0.05608859996</v>
      </c>
      <c r="AP10" t="n">
        <v>0.03875423802</v>
      </c>
    </row>
    <row r="11">
      <c r="B11" t="n">
        <v>410</v>
      </c>
      <c r="C11" t="n">
        <v>0.2225014943</v>
      </c>
      <c r="D11" t="n">
        <v>0.1387873718</v>
      </c>
      <c r="E11" t="n">
        <v>0.08927768069</v>
      </c>
      <c r="F11" t="n">
        <v>0.0441536186</v>
      </c>
      <c r="G11" t="n">
        <v>0.3061458522</v>
      </c>
      <c r="H11" t="n">
        <v>0.3439480512</v>
      </c>
      <c r="I11" t="n">
        <v>0.2654477341</v>
      </c>
      <c r="J11" t="n">
        <v>0.1668853866</v>
      </c>
      <c r="K11" t="n">
        <v>0.09037475563</v>
      </c>
      <c r="L11" t="n">
        <v>0.0479187909</v>
      </c>
      <c r="M11" t="n">
        <v>0.2350780555</v>
      </c>
      <c r="N11" t="n">
        <v>0.1589861039</v>
      </c>
      <c r="O11" t="n">
        <v>0.1095742811</v>
      </c>
      <c r="P11" t="n">
        <v>0.04944294619</v>
      </c>
      <c r="Q11" t="n">
        <v>0.3232149304</v>
      </c>
      <c r="R11" t="n">
        <v>0.3481968792</v>
      </c>
      <c r="S11" t="n">
        <v>0.2295670784</v>
      </c>
      <c r="T11" t="n">
        <v>0.1482457524</v>
      </c>
      <c r="U11" t="n">
        <v>0.07590959288</v>
      </c>
      <c r="V11" t="n">
        <v>0.04213182939</v>
      </c>
      <c r="W11" t="n">
        <v>0.2553944705</v>
      </c>
      <c r="X11" t="n">
        <v>0.1771144886</v>
      </c>
      <c r="Y11" t="n">
        <v>0.1066396433</v>
      </c>
      <c r="Z11" t="n">
        <v>0.0631642628</v>
      </c>
      <c r="AA11" t="n">
        <v>0.3360960194</v>
      </c>
      <c r="AB11" t="n">
        <v>0.315070579</v>
      </c>
      <c r="AC11" t="n">
        <v>0.2072022411</v>
      </c>
      <c r="AD11" t="n">
        <v>0.1309044838</v>
      </c>
      <c r="AE11" t="n">
        <v>0.06536054214000001</v>
      </c>
      <c r="AF11" t="n">
        <v>0.03839452074</v>
      </c>
      <c r="AG11" t="n">
        <v>0.2711222285</v>
      </c>
      <c r="AH11" t="n">
        <v>0.2065021729</v>
      </c>
      <c r="AI11" t="n">
        <v>0.1274249591</v>
      </c>
      <c r="AJ11" t="n">
        <v>0.07902289074</v>
      </c>
      <c r="AK11" t="n">
        <v>0.3308256401</v>
      </c>
      <c r="AL11" t="n">
        <v>0.2905892482</v>
      </c>
      <c r="AM11" t="n">
        <v>0.1827842688</v>
      </c>
      <c r="AN11" t="n">
        <v>0.10753051</v>
      </c>
      <c r="AO11" t="n">
        <v>0.05604461717</v>
      </c>
      <c r="AP11" t="n">
        <v>0.03959883348</v>
      </c>
    </row>
    <row r="12">
      <c r="B12" t="n">
        <v>415</v>
      </c>
      <c r="C12" t="n">
        <v>0.2311255352</v>
      </c>
      <c r="D12" t="n">
        <v>0.142429495</v>
      </c>
      <c r="E12" t="n">
        <v>0.09005956236</v>
      </c>
      <c r="F12" t="n">
        <v>0.04403859826</v>
      </c>
      <c r="G12" t="n">
        <v>0.3191016836</v>
      </c>
      <c r="H12" t="n">
        <v>0.3546362104</v>
      </c>
      <c r="I12" t="n">
        <v>0.2688361146</v>
      </c>
      <c r="J12" t="n">
        <v>0.1654517094</v>
      </c>
      <c r="K12" t="n">
        <v>0.0897332155</v>
      </c>
      <c r="L12" t="n">
        <v>0.04748886006</v>
      </c>
      <c r="M12" t="n">
        <v>0.2455495462</v>
      </c>
      <c r="N12" t="n">
        <v>0.1636269604</v>
      </c>
      <c r="O12" t="n">
        <v>0.1113111818</v>
      </c>
      <c r="P12" t="n">
        <v>0.04947199374</v>
      </c>
      <c r="Q12" t="n">
        <v>0.3346660057</v>
      </c>
      <c r="R12" t="n">
        <v>0.3566312784</v>
      </c>
      <c r="S12" t="n">
        <v>0.2304657682</v>
      </c>
      <c r="T12" t="n">
        <v>0.146884286</v>
      </c>
      <c r="U12" t="n">
        <v>0.07606141693</v>
      </c>
      <c r="V12" t="n">
        <v>0.04152441655</v>
      </c>
      <c r="W12" t="n">
        <v>0.2673201145</v>
      </c>
      <c r="X12" t="n">
        <v>0.1824341878</v>
      </c>
      <c r="Y12" t="n">
        <v>0.1093290397</v>
      </c>
      <c r="Z12" t="n">
        <v>0.06337901545999999</v>
      </c>
      <c r="AA12" t="n">
        <v>0.3452003979</v>
      </c>
      <c r="AB12" t="n">
        <v>0.3171724366</v>
      </c>
      <c r="AC12" t="n">
        <v>0.2062757633</v>
      </c>
      <c r="AD12" t="n">
        <v>0.1293010789</v>
      </c>
      <c r="AE12" t="n">
        <v>0.06532461207</v>
      </c>
      <c r="AF12" t="n">
        <v>0.03798544348</v>
      </c>
      <c r="AG12" t="n">
        <v>0.2851107716</v>
      </c>
      <c r="AH12" t="n">
        <v>0.212579197</v>
      </c>
      <c r="AI12" t="n">
        <v>0.1310731735</v>
      </c>
      <c r="AJ12" t="n">
        <v>0.0794673924</v>
      </c>
      <c r="AK12" t="n">
        <v>0.3442047281</v>
      </c>
      <c r="AL12" t="n">
        <v>0.295909067</v>
      </c>
      <c r="AM12" t="n">
        <v>0.1810527666</v>
      </c>
      <c r="AN12" t="n">
        <v>0.1060322064</v>
      </c>
      <c r="AO12" t="n">
        <v>0.05579938703</v>
      </c>
      <c r="AP12" t="n">
        <v>0.03904938477</v>
      </c>
    </row>
    <row r="13">
      <c r="B13" t="n">
        <v>420</v>
      </c>
      <c r="C13" t="n">
        <v>0.2349059067</v>
      </c>
      <c r="D13" t="n">
        <v>0.1454773443</v>
      </c>
      <c r="E13" t="n">
        <v>0.09140278474000001</v>
      </c>
      <c r="F13" t="n">
        <v>0.04396145811</v>
      </c>
      <c r="G13" t="n">
        <v>0.3247741137</v>
      </c>
      <c r="H13" t="n">
        <v>0.3591588511</v>
      </c>
      <c r="I13" t="n">
        <v>0.2690313307</v>
      </c>
      <c r="J13" t="n">
        <v>0.1639640476</v>
      </c>
      <c r="K13" t="n">
        <v>0.08988318062</v>
      </c>
      <c r="L13" t="n">
        <v>0.04718929068</v>
      </c>
      <c r="M13" t="n">
        <v>0.2494854074</v>
      </c>
      <c r="N13" t="n">
        <v>0.1676772238</v>
      </c>
      <c r="O13" t="n">
        <v>0.1132129836</v>
      </c>
      <c r="P13" t="n">
        <v>0.0495783276</v>
      </c>
      <c r="Q13" t="n">
        <v>0.3404691445</v>
      </c>
      <c r="R13" t="n">
        <v>0.3589596492</v>
      </c>
      <c r="S13" t="n">
        <v>0.2295481373</v>
      </c>
      <c r="T13" t="n">
        <v>0.1456869811</v>
      </c>
      <c r="U13" t="n">
        <v>0.07591224233</v>
      </c>
      <c r="V13" t="n">
        <v>0.04106105675</v>
      </c>
      <c r="W13" t="n">
        <v>0.2707211622</v>
      </c>
      <c r="X13" t="n">
        <v>0.1873876422</v>
      </c>
      <c r="Y13" t="n">
        <v>0.1120688518</v>
      </c>
      <c r="Z13" t="n">
        <v>0.063626417</v>
      </c>
      <c r="AA13" t="n">
        <v>0.3506964685</v>
      </c>
      <c r="AB13" t="n">
        <v>0.3173741483</v>
      </c>
      <c r="AC13" t="n">
        <v>0.2034867317</v>
      </c>
      <c r="AD13" t="n">
        <v>0.1279108635</v>
      </c>
      <c r="AE13" t="n">
        <v>0.06534611099</v>
      </c>
      <c r="AF13" t="n">
        <v>0.03771860924</v>
      </c>
      <c r="AG13" t="n">
        <v>0.289925869</v>
      </c>
      <c r="AH13" t="n">
        <v>0.2180435396</v>
      </c>
      <c r="AI13" t="n">
        <v>0.1335124754</v>
      </c>
      <c r="AJ13" t="n">
        <v>0.07989220399999999</v>
      </c>
      <c r="AK13" t="n">
        <v>0.3512746421</v>
      </c>
      <c r="AL13" t="n">
        <v>0.2966907085</v>
      </c>
      <c r="AM13" t="n">
        <v>0.1788068934</v>
      </c>
      <c r="AN13" t="n">
        <v>0.1055696162</v>
      </c>
      <c r="AO13" t="n">
        <v>0.0556601827</v>
      </c>
      <c r="AP13" t="n">
        <v>0.03858595869</v>
      </c>
    </row>
    <row r="14">
      <c r="B14" t="n">
        <v>425</v>
      </c>
      <c r="C14" t="n">
        <v>0.2438066736</v>
      </c>
      <c r="D14" t="n">
        <v>0.1495257577</v>
      </c>
      <c r="E14" t="n">
        <v>0.09288923827999999</v>
      </c>
      <c r="F14" t="n">
        <v>0.04400334041</v>
      </c>
      <c r="G14" t="n">
        <v>0.3298515776</v>
      </c>
      <c r="H14" t="n">
        <v>0.3606091314</v>
      </c>
      <c r="I14" t="n">
        <v>0.2677989389</v>
      </c>
      <c r="J14" t="n">
        <v>0.1619040294</v>
      </c>
      <c r="K14" t="n">
        <v>0.09018108122</v>
      </c>
      <c r="L14" t="n">
        <v>0.04690048073</v>
      </c>
      <c r="M14" t="n">
        <v>0.2619552362</v>
      </c>
      <c r="N14" t="n">
        <v>0.1726963577</v>
      </c>
      <c r="O14" t="n">
        <v>0.1144369582</v>
      </c>
      <c r="P14" t="n">
        <v>0.04955606462</v>
      </c>
      <c r="Q14" t="n">
        <v>0.3447784459</v>
      </c>
      <c r="R14" t="n">
        <v>0.3566793198</v>
      </c>
      <c r="S14" t="n">
        <v>0.2282651042</v>
      </c>
      <c r="T14" t="n">
        <v>0.1441115913</v>
      </c>
      <c r="U14" t="n">
        <v>0.07583940567</v>
      </c>
      <c r="V14" t="n">
        <v>0.04043426463</v>
      </c>
      <c r="W14" t="n">
        <v>0.2853450282</v>
      </c>
      <c r="X14" t="n">
        <v>0.1936548545</v>
      </c>
      <c r="Y14" t="n">
        <v>0.1151541438</v>
      </c>
      <c r="Z14" t="n">
        <v>0.06384795404</v>
      </c>
      <c r="AA14" t="n">
        <v>0.3548033324</v>
      </c>
      <c r="AB14" t="n">
        <v>0.3162129005</v>
      </c>
      <c r="AC14" t="n">
        <v>0.2009447779</v>
      </c>
      <c r="AD14" t="n">
        <v>0.1266546997</v>
      </c>
      <c r="AE14" t="n">
        <v>0.06542857840000001</v>
      </c>
      <c r="AF14" t="n">
        <v>0.03718934967</v>
      </c>
      <c r="AG14" t="n">
        <v>0.3030676689</v>
      </c>
      <c r="AH14" t="n">
        <v>0.2246688847</v>
      </c>
      <c r="AI14" t="n">
        <v>0.1366273995</v>
      </c>
      <c r="AJ14" t="n">
        <v>0.08044237039</v>
      </c>
      <c r="AK14" t="n">
        <v>0.3571250464</v>
      </c>
      <c r="AL14" t="n">
        <v>0.2953167367</v>
      </c>
      <c r="AM14" t="n">
        <v>0.1764606972</v>
      </c>
      <c r="AN14" t="n">
        <v>0.1054070473</v>
      </c>
      <c r="AO14" t="n">
        <v>0.055660293</v>
      </c>
      <c r="AP14" t="n">
        <v>0.03846059687</v>
      </c>
    </row>
    <row r="15">
      <c r="B15" t="n">
        <v>430</v>
      </c>
      <c r="C15" t="n">
        <v>0.247311283</v>
      </c>
      <c r="D15" t="n">
        <v>0.1531773257</v>
      </c>
      <c r="E15" t="n">
        <v>0.09457887833</v>
      </c>
      <c r="F15" t="n">
        <v>0.0441096575</v>
      </c>
      <c r="G15" t="n">
        <v>0.3353907541</v>
      </c>
      <c r="H15" t="n">
        <v>0.3609772177</v>
      </c>
      <c r="I15" t="n">
        <v>0.2651310712</v>
      </c>
      <c r="J15" t="n">
        <v>0.1607806399</v>
      </c>
      <c r="K15" t="n">
        <v>0.09017446251</v>
      </c>
      <c r="L15" t="n">
        <v>0.04686502771</v>
      </c>
      <c r="M15" t="n">
        <v>0.2665142243</v>
      </c>
      <c r="N15" t="n">
        <v>0.1785462085</v>
      </c>
      <c r="O15" t="n">
        <v>0.1162065057</v>
      </c>
      <c r="P15" t="n">
        <v>0.04970267692</v>
      </c>
      <c r="Q15" t="n">
        <v>0.3491086762</v>
      </c>
      <c r="R15" t="n">
        <v>0.3527765155</v>
      </c>
      <c r="S15" t="n">
        <v>0.2256082921</v>
      </c>
      <c r="T15" t="n">
        <v>0.1430478135</v>
      </c>
      <c r="U15" t="n">
        <v>0.07599781962</v>
      </c>
      <c r="V15" t="n">
        <v>0.04020201995</v>
      </c>
      <c r="W15" t="n">
        <v>0.2893670851</v>
      </c>
      <c r="X15" t="n">
        <v>0.1994420075</v>
      </c>
      <c r="Y15" t="n">
        <v>0.1186920043</v>
      </c>
      <c r="Z15" t="n">
        <v>0.06413781801</v>
      </c>
      <c r="AA15" t="n">
        <v>0.3596533265</v>
      </c>
      <c r="AB15" t="n">
        <v>0.3144448775</v>
      </c>
      <c r="AC15" t="n">
        <v>0.1987027495</v>
      </c>
      <c r="AD15" t="n">
        <v>0.1256622433</v>
      </c>
      <c r="AE15" t="n">
        <v>0.06566563834</v>
      </c>
      <c r="AF15" t="n">
        <v>0.03684351371</v>
      </c>
      <c r="AG15" t="n">
        <v>0.3067716191</v>
      </c>
      <c r="AH15" t="n">
        <v>0.230279275</v>
      </c>
      <c r="AI15" t="n">
        <v>0.140397323</v>
      </c>
      <c r="AJ15" t="n">
        <v>0.08091362122</v>
      </c>
      <c r="AK15" t="n">
        <v>0.3608034128</v>
      </c>
      <c r="AL15" t="n">
        <v>0.2922661373</v>
      </c>
      <c r="AM15" t="n">
        <v>0.175292539</v>
      </c>
      <c r="AN15" t="n">
        <v>0.104913877</v>
      </c>
      <c r="AO15" t="n">
        <v>0.05578764761</v>
      </c>
      <c r="AP15" t="n">
        <v>0.03819961967</v>
      </c>
    </row>
    <row r="16">
      <c r="B16" t="n">
        <v>435</v>
      </c>
      <c r="C16" t="n">
        <v>0.2565170084</v>
      </c>
      <c r="D16" t="n">
        <v>0.1578635022</v>
      </c>
      <c r="E16" t="n">
        <v>0.09624448631</v>
      </c>
      <c r="F16" t="n">
        <v>0.04447710499</v>
      </c>
      <c r="G16" t="n">
        <v>0.3400180394</v>
      </c>
      <c r="H16" t="n">
        <v>0.3581031488</v>
      </c>
      <c r="I16" t="n">
        <v>0.2615299647</v>
      </c>
      <c r="J16" t="n">
        <v>0.1601961722</v>
      </c>
      <c r="K16" t="n">
        <v>0.08998800176000001</v>
      </c>
      <c r="L16" t="n">
        <v>0.04681075414</v>
      </c>
      <c r="M16" t="n">
        <v>0.2771593523</v>
      </c>
      <c r="N16" t="n">
        <v>0.1829811549</v>
      </c>
      <c r="O16" t="n">
        <v>0.1184687333</v>
      </c>
      <c r="P16" t="n">
        <v>0.05005076482</v>
      </c>
      <c r="Q16" t="n">
        <v>0.3521012877</v>
      </c>
      <c r="R16" t="n">
        <v>0.3477417246</v>
      </c>
      <c r="S16" t="n">
        <v>0.2234421057</v>
      </c>
      <c r="T16" t="n">
        <v>0.142449775</v>
      </c>
      <c r="U16" t="n">
        <v>0.07587841175</v>
      </c>
      <c r="V16" t="n">
        <v>0.03989173199</v>
      </c>
      <c r="W16" t="n">
        <v>0.300569659</v>
      </c>
      <c r="X16" t="n">
        <v>0.206426302</v>
      </c>
      <c r="Y16" t="n">
        <v>0.1234807804</v>
      </c>
      <c r="Z16" t="n">
        <v>0.06470537455</v>
      </c>
      <c r="AA16" t="n">
        <v>0.3623522998</v>
      </c>
      <c r="AB16" t="n">
        <v>0.3118182583</v>
      </c>
      <c r="AC16" t="n">
        <v>0.1968230235</v>
      </c>
      <c r="AD16" t="n">
        <v>0.1251853766</v>
      </c>
      <c r="AE16" t="n">
        <v>0.06569151451999999</v>
      </c>
      <c r="AF16" t="n">
        <v>0.03672677914</v>
      </c>
      <c r="AG16" t="n">
        <v>0.3170413478</v>
      </c>
      <c r="AH16" t="n">
        <v>0.2376396525</v>
      </c>
      <c r="AI16" t="n">
        <v>0.1447447085</v>
      </c>
      <c r="AJ16" t="n">
        <v>0.08170854477</v>
      </c>
      <c r="AK16" t="n">
        <v>0.3637753947</v>
      </c>
      <c r="AL16" t="n">
        <v>0.288445808</v>
      </c>
      <c r="AM16" t="n">
        <v>0.1746283031</v>
      </c>
      <c r="AN16" t="n">
        <v>0.1046233285</v>
      </c>
      <c r="AO16" t="n">
        <v>0.05593099175</v>
      </c>
      <c r="AP16" t="n">
        <v>0.0381883338</v>
      </c>
    </row>
    <row r="17">
      <c r="B17" t="n">
        <v>440</v>
      </c>
      <c r="C17" t="n">
        <v>0.2641245704</v>
      </c>
      <c r="D17" t="n">
        <v>0.1623698006</v>
      </c>
      <c r="E17" t="n">
        <v>0.09939060343</v>
      </c>
      <c r="F17" t="n">
        <v>0.04481730169</v>
      </c>
      <c r="G17" t="n">
        <v>0.3479813524</v>
      </c>
      <c r="H17" t="n">
        <v>0.3549200555</v>
      </c>
      <c r="I17" t="n">
        <v>0.2569549282</v>
      </c>
      <c r="J17" t="n">
        <v>0.1597069355</v>
      </c>
      <c r="K17" t="n">
        <v>0.08995148108999999</v>
      </c>
      <c r="L17" t="n">
        <v>0.04684345729</v>
      </c>
      <c r="M17" t="n">
        <v>0.2896690076</v>
      </c>
      <c r="N17" t="n">
        <v>0.1889342021</v>
      </c>
      <c r="O17" t="n">
        <v>0.1209595791</v>
      </c>
      <c r="P17" t="n">
        <v>0.05042331422</v>
      </c>
      <c r="Q17" t="n">
        <v>0.3568132466</v>
      </c>
      <c r="R17" t="n">
        <v>0.3416713472</v>
      </c>
      <c r="S17" t="n">
        <v>0.2208322177</v>
      </c>
      <c r="T17" t="n">
        <v>0.1418299998</v>
      </c>
      <c r="U17" t="n">
        <v>0.07613820735</v>
      </c>
      <c r="V17" t="n">
        <v>0.03987697964</v>
      </c>
      <c r="W17" t="n">
        <v>0.3159900647</v>
      </c>
      <c r="X17" t="n">
        <v>0.2121096282</v>
      </c>
      <c r="Y17" t="n">
        <v>0.1282257103</v>
      </c>
      <c r="Z17" t="n">
        <v>0.06543336791</v>
      </c>
      <c r="AA17" t="n">
        <v>0.365258429</v>
      </c>
      <c r="AB17" t="n">
        <v>0.3088965901</v>
      </c>
      <c r="AC17" t="n">
        <v>0.1967207455</v>
      </c>
      <c r="AD17" t="n">
        <v>0.1247950194</v>
      </c>
      <c r="AE17" t="n">
        <v>0.06596174303000001</v>
      </c>
      <c r="AF17" t="n">
        <v>0.03695727817</v>
      </c>
      <c r="AG17" t="n">
        <v>0.3318854625</v>
      </c>
      <c r="AH17" t="n">
        <v>0.2447616017</v>
      </c>
      <c r="AI17" t="n">
        <v>0.1486315765</v>
      </c>
      <c r="AJ17" t="n">
        <v>0.08285767843</v>
      </c>
      <c r="AK17" t="n">
        <v>0.3650944586</v>
      </c>
      <c r="AL17" t="n">
        <v>0.2823429671</v>
      </c>
      <c r="AM17" t="n">
        <v>0.1750629538</v>
      </c>
      <c r="AN17" t="n">
        <v>0.1043729401</v>
      </c>
      <c r="AO17" t="n">
        <v>0.05601093661</v>
      </c>
      <c r="AP17" t="n">
        <v>0.0385105986</v>
      </c>
    </row>
    <row r="18">
      <c r="B18" t="n">
        <v>445</v>
      </c>
      <c r="C18" t="n">
        <v>0.2732875048</v>
      </c>
      <c r="D18" t="n">
        <v>0.1679867883</v>
      </c>
      <c r="E18" t="n">
        <v>0.1024910984</v>
      </c>
      <c r="F18" t="n">
        <v>0.04527048207</v>
      </c>
      <c r="G18" t="n">
        <v>0.3549188813</v>
      </c>
      <c r="H18" t="n">
        <v>0.3492152604</v>
      </c>
      <c r="I18" t="n">
        <v>0.2526313654</v>
      </c>
      <c r="J18" t="n">
        <v>0.1583005678</v>
      </c>
      <c r="K18" t="n">
        <v>0.08988983614</v>
      </c>
      <c r="L18" t="n">
        <v>0.04688840467</v>
      </c>
      <c r="M18" t="n">
        <v>0.3006879003</v>
      </c>
      <c r="N18" t="n">
        <v>0.1961080689</v>
      </c>
      <c r="O18" t="n">
        <v>0.1242805449</v>
      </c>
      <c r="P18" t="n">
        <v>0.05123628987</v>
      </c>
      <c r="Q18" t="n">
        <v>0.362094011</v>
      </c>
      <c r="R18" t="n">
        <v>0.3329717722</v>
      </c>
      <c r="S18" t="n">
        <v>0.2182050301</v>
      </c>
      <c r="T18" t="n">
        <v>0.140797463</v>
      </c>
      <c r="U18" t="n">
        <v>0.07617520667</v>
      </c>
      <c r="V18" t="n">
        <v>0.03963382373</v>
      </c>
      <c r="W18" t="n">
        <v>0.3268663964</v>
      </c>
      <c r="X18" t="n">
        <v>0.2200482917</v>
      </c>
      <c r="Y18" t="n">
        <v>0.134797959</v>
      </c>
      <c r="Z18" t="n">
        <v>0.06665363726</v>
      </c>
      <c r="AA18" t="n">
        <v>0.3664224255</v>
      </c>
      <c r="AB18" t="n">
        <v>0.3042175114</v>
      </c>
      <c r="AC18" t="n">
        <v>0.1947410271</v>
      </c>
      <c r="AD18" t="n">
        <v>0.1240280009</v>
      </c>
      <c r="AE18" t="n">
        <v>0.06616416949999999</v>
      </c>
      <c r="AF18" t="n">
        <v>0.03698148145</v>
      </c>
      <c r="AG18" t="n">
        <v>0.3439565034</v>
      </c>
      <c r="AH18" t="n">
        <v>0.2519482626</v>
      </c>
      <c r="AI18" t="n">
        <v>0.1547502135</v>
      </c>
      <c r="AJ18" t="n">
        <v>0.08446507305000001</v>
      </c>
      <c r="AK18" t="n">
        <v>0.3638408477</v>
      </c>
      <c r="AL18" t="n">
        <v>0.2780590269</v>
      </c>
      <c r="AM18" t="n">
        <v>0.1737067317</v>
      </c>
      <c r="AN18" t="n">
        <v>0.1040455736</v>
      </c>
      <c r="AO18" t="n">
        <v>0.05627804447</v>
      </c>
      <c r="AP18" t="n">
        <v>0.03871670856</v>
      </c>
    </row>
    <row r="19">
      <c r="B19" t="n">
        <v>450</v>
      </c>
      <c r="C19" t="n">
        <v>0.2834367654</v>
      </c>
      <c r="D19" t="n">
        <v>0.1773043916</v>
      </c>
      <c r="E19" t="n">
        <v>0.1068204308</v>
      </c>
      <c r="F19" t="n">
        <v>0.04577831482</v>
      </c>
      <c r="G19" t="n">
        <v>0.3596330684</v>
      </c>
      <c r="H19" t="n">
        <v>0.3429560701</v>
      </c>
      <c r="I19" t="n">
        <v>0.2467281757</v>
      </c>
      <c r="J19" t="n">
        <v>0.1574439181</v>
      </c>
      <c r="K19" t="n">
        <v>0.09042372456</v>
      </c>
      <c r="L19" t="n">
        <v>0.04732663425</v>
      </c>
      <c r="M19" t="n">
        <v>0.3112085176</v>
      </c>
      <c r="N19" t="n">
        <v>0.2057513378</v>
      </c>
      <c r="O19" t="n">
        <v>0.1285718344</v>
      </c>
      <c r="P19" t="n">
        <v>0.0522137997</v>
      </c>
      <c r="Q19" t="n">
        <v>0.3641351748</v>
      </c>
      <c r="R19" t="n">
        <v>0.3238918179</v>
      </c>
      <c r="S19" t="n">
        <v>0.2149641431</v>
      </c>
      <c r="T19" t="n">
        <v>0.1401555102</v>
      </c>
      <c r="U19" t="n">
        <v>0.07644695611000001</v>
      </c>
      <c r="V19" t="n">
        <v>0.04004613837</v>
      </c>
      <c r="W19" t="n">
        <v>0.335598226</v>
      </c>
      <c r="X19" t="n">
        <v>0.2290928399</v>
      </c>
      <c r="Y19" t="n">
        <v>0.1425020164</v>
      </c>
      <c r="Z19" t="n">
        <v>0.06810442355</v>
      </c>
      <c r="AA19" t="n">
        <v>0.3650351304</v>
      </c>
      <c r="AB19" t="n">
        <v>0.2984370385</v>
      </c>
      <c r="AC19" t="n">
        <v>0.1927255611</v>
      </c>
      <c r="AD19" t="n">
        <v>0.1235912074</v>
      </c>
      <c r="AE19" t="n">
        <v>0.06642868582</v>
      </c>
      <c r="AF19" t="n">
        <v>0.03733031446</v>
      </c>
      <c r="AG19" t="n">
        <v>0.351664375</v>
      </c>
      <c r="AH19" t="n">
        <v>0.2627155187</v>
      </c>
      <c r="AI19" t="n">
        <v>0.1619387694</v>
      </c>
      <c r="AJ19" t="n">
        <v>0.08637877878</v>
      </c>
      <c r="AK19" t="n">
        <v>0.3596306926</v>
      </c>
      <c r="AL19" t="n">
        <v>0.2718661665</v>
      </c>
      <c r="AM19" t="n">
        <v>0.1728033248</v>
      </c>
      <c r="AN19" t="n">
        <v>0.1042816626</v>
      </c>
      <c r="AO19" t="n">
        <v>0.056695957</v>
      </c>
      <c r="AP19" t="n">
        <v>0.03915861932</v>
      </c>
    </row>
    <row r="20">
      <c r="B20" t="n">
        <v>455</v>
      </c>
      <c r="C20" t="n">
        <v>0.2934081644</v>
      </c>
      <c r="D20" t="n">
        <v>0.1871214729</v>
      </c>
      <c r="E20" t="n">
        <v>0.1127912023</v>
      </c>
      <c r="F20" t="n">
        <v>0.04649603655</v>
      </c>
      <c r="G20" t="n">
        <v>0.3604808746</v>
      </c>
      <c r="H20" t="n">
        <v>0.3347415234</v>
      </c>
      <c r="I20" t="n">
        <v>0.2414627773</v>
      </c>
      <c r="J20" t="n">
        <v>0.1561212856</v>
      </c>
      <c r="K20" t="n">
        <v>0.09045022926</v>
      </c>
      <c r="L20" t="n">
        <v>0.04757282641</v>
      </c>
      <c r="M20" t="n">
        <v>0.3209877573</v>
      </c>
      <c r="N20" t="n">
        <v>0.2170188364</v>
      </c>
      <c r="O20" t="n">
        <v>0.1338300279</v>
      </c>
      <c r="P20" t="n">
        <v>0.05374194685</v>
      </c>
      <c r="Q20" t="n">
        <v>0.3616893619</v>
      </c>
      <c r="R20" t="n">
        <v>0.3130712678</v>
      </c>
      <c r="S20" t="n">
        <v>0.2117455809</v>
      </c>
      <c r="T20" t="n">
        <v>0.1389943479</v>
      </c>
      <c r="U20" t="n">
        <v>0.07678134704</v>
      </c>
      <c r="V20" t="n">
        <v>0.04042669224</v>
      </c>
      <c r="W20" t="n">
        <v>0.3420572571</v>
      </c>
      <c r="X20" t="n">
        <v>0.2409320738</v>
      </c>
      <c r="Y20" t="n">
        <v>0.1521247985</v>
      </c>
      <c r="Z20" t="n">
        <v>0.07031487996000001</v>
      </c>
      <c r="AA20" t="n">
        <v>0.3619359467</v>
      </c>
      <c r="AB20" t="n">
        <v>0.2927726057</v>
      </c>
      <c r="AC20" t="n">
        <v>0.1904040663</v>
      </c>
      <c r="AD20" t="n">
        <v>0.1230529637</v>
      </c>
      <c r="AE20" t="n">
        <v>0.06667078746000001</v>
      </c>
      <c r="AF20" t="n">
        <v>0.03779668546</v>
      </c>
      <c r="AG20" t="n">
        <v>0.3559146875</v>
      </c>
      <c r="AH20" t="n">
        <v>0.2721690078</v>
      </c>
      <c r="AI20" t="n">
        <v>0.170670485</v>
      </c>
      <c r="AJ20" t="n">
        <v>0.08922713983</v>
      </c>
      <c r="AK20" t="n">
        <v>0.354679448</v>
      </c>
      <c r="AL20" t="n">
        <v>0.2649615485</v>
      </c>
      <c r="AM20" t="n">
        <v>0.171899067</v>
      </c>
      <c r="AN20" t="n">
        <v>0.1040749285</v>
      </c>
      <c r="AO20" t="n">
        <v>0.05682357985</v>
      </c>
      <c r="AP20" t="n">
        <v>0.04000166361</v>
      </c>
    </row>
    <row r="21">
      <c r="B21" t="n">
        <v>460</v>
      </c>
      <c r="C21" t="n">
        <v>0.3067638394</v>
      </c>
      <c r="D21" t="n">
        <v>0.2005232976</v>
      </c>
      <c r="E21" t="n">
        <v>0.1210284707</v>
      </c>
      <c r="F21" t="n">
        <v>0.04737987018</v>
      </c>
      <c r="G21" t="n">
        <v>0.3612393914</v>
      </c>
      <c r="H21" t="n">
        <v>0.3254850888</v>
      </c>
      <c r="I21" t="n">
        <v>0.2355861135</v>
      </c>
      <c r="J21" t="n">
        <v>0.1550443758</v>
      </c>
      <c r="K21" t="n">
        <v>0.09126544386</v>
      </c>
      <c r="L21" t="n">
        <v>0.0480917285</v>
      </c>
      <c r="M21" t="n">
        <v>0.3326320052</v>
      </c>
      <c r="N21" t="n">
        <v>0.2312810377</v>
      </c>
      <c r="O21" t="n">
        <v>0.1419183768</v>
      </c>
      <c r="P21" t="n">
        <v>0.05566246959</v>
      </c>
      <c r="Q21" t="n">
        <v>0.361294226</v>
      </c>
      <c r="R21" t="n">
        <v>0.3036380982</v>
      </c>
      <c r="S21" t="n">
        <v>0.2086345378</v>
      </c>
      <c r="T21" t="n">
        <v>0.1380115686</v>
      </c>
      <c r="U21" t="n">
        <v>0.07709733177</v>
      </c>
      <c r="V21" t="n">
        <v>0.04104195922</v>
      </c>
      <c r="W21" t="n">
        <v>0.3475308786</v>
      </c>
      <c r="X21" t="n">
        <v>0.2554124895</v>
      </c>
      <c r="Y21" t="n">
        <v>0.1653127693</v>
      </c>
      <c r="Z21" t="n">
        <v>0.07317031943000001</v>
      </c>
      <c r="AA21" t="n">
        <v>0.3578252085</v>
      </c>
      <c r="AB21" t="n">
        <v>0.284603624</v>
      </c>
      <c r="AC21" t="n">
        <v>0.1887542042</v>
      </c>
      <c r="AD21" t="n">
        <v>0.122791506</v>
      </c>
      <c r="AE21" t="n">
        <v>0.06708553067</v>
      </c>
      <c r="AF21" t="n">
        <v>0.03849000426</v>
      </c>
      <c r="AG21" t="n">
        <v>0.3591171916</v>
      </c>
      <c r="AH21" t="n">
        <v>0.2848733077</v>
      </c>
      <c r="AI21" t="n">
        <v>0.1827107925</v>
      </c>
      <c r="AJ21" t="n">
        <v>0.09299578846000001</v>
      </c>
      <c r="AK21" t="n">
        <v>0.3484905294</v>
      </c>
      <c r="AL21" t="n">
        <v>0.2590842315</v>
      </c>
      <c r="AM21" t="n">
        <v>0.1713657798</v>
      </c>
      <c r="AN21" t="n">
        <v>0.1048003117</v>
      </c>
      <c r="AO21" t="n">
        <v>0.05722843167</v>
      </c>
      <c r="AP21" t="n">
        <v>0.04108525768</v>
      </c>
    </row>
    <row r="22">
      <c r="B22" t="n">
        <v>465</v>
      </c>
      <c r="C22" t="n">
        <v>0.3230212289</v>
      </c>
      <c r="D22" t="n">
        <v>0.2184723507</v>
      </c>
      <c r="E22" t="n">
        <v>0.1316210591</v>
      </c>
      <c r="F22" t="n">
        <v>0.04855746918</v>
      </c>
      <c r="G22" t="n">
        <v>0.3596453712</v>
      </c>
      <c r="H22" t="n">
        <v>0.3154099982</v>
      </c>
      <c r="I22" t="n">
        <v>0.2298496907</v>
      </c>
      <c r="J22" t="n">
        <v>0.1541140505</v>
      </c>
      <c r="K22" t="n">
        <v>0.09123552056000001</v>
      </c>
      <c r="L22" t="n">
        <v>0.04858048607</v>
      </c>
      <c r="M22" t="n">
        <v>0.3456152865</v>
      </c>
      <c r="N22" t="n">
        <v>0.2486849881</v>
      </c>
      <c r="O22" t="n">
        <v>0.1519584904</v>
      </c>
      <c r="P22" t="n">
        <v>0.05822124438</v>
      </c>
      <c r="Q22" t="n">
        <v>0.3595857994</v>
      </c>
      <c r="R22" t="n">
        <v>0.2911365727</v>
      </c>
      <c r="S22" t="n">
        <v>0.2056410375</v>
      </c>
      <c r="T22" t="n">
        <v>0.1371492307</v>
      </c>
      <c r="U22" t="n">
        <v>0.07717333759</v>
      </c>
      <c r="V22" t="n">
        <v>0.04188932589</v>
      </c>
      <c r="W22" t="n">
        <v>0.3555134283</v>
      </c>
      <c r="X22" t="n">
        <v>0.2733606904</v>
      </c>
      <c r="Y22" t="n">
        <v>0.1801310738</v>
      </c>
      <c r="Z22" t="n">
        <v>0.07687788622</v>
      </c>
      <c r="AA22" t="n">
        <v>0.3522125707</v>
      </c>
      <c r="AB22" t="n">
        <v>0.2757921778</v>
      </c>
      <c r="AC22" t="n">
        <v>0.1874682095</v>
      </c>
      <c r="AD22" t="n">
        <v>0.1227384192</v>
      </c>
      <c r="AE22" t="n">
        <v>0.06720554579</v>
      </c>
      <c r="AF22" t="n">
        <v>0.03960856706</v>
      </c>
      <c r="AG22" t="n">
        <v>0.3611755519</v>
      </c>
      <c r="AH22" t="n">
        <v>0.2991822015</v>
      </c>
      <c r="AI22" t="n">
        <v>0.1967756965</v>
      </c>
      <c r="AJ22" t="n">
        <v>0.09780275566</v>
      </c>
      <c r="AK22" t="n">
        <v>0.3408693423</v>
      </c>
      <c r="AL22" t="n">
        <v>0.2524151081</v>
      </c>
      <c r="AM22" t="n">
        <v>0.171078548</v>
      </c>
      <c r="AN22" t="n">
        <v>0.1049444528</v>
      </c>
      <c r="AO22" t="n">
        <v>0.05739123489</v>
      </c>
      <c r="AP22" t="n">
        <v>0.04254269376</v>
      </c>
    </row>
    <row r="23">
      <c r="B23" t="n">
        <v>470</v>
      </c>
      <c r="C23" t="n">
        <v>0.3355992483</v>
      </c>
      <c r="D23" t="n">
        <v>0.2371844991</v>
      </c>
      <c r="E23" t="n">
        <v>0.1453373733</v>
      </c>
      <c r="F23" t="n">
        <v>0.05029319945</v>
      </c>
      <c r="G23" t="n">
        <v>0.3567417946</v>
      </c>
      <c r="H23" t="n">
        <v>0.3051641306</v>
      </c>
      <c r="I23" t="n">
        <v>0.2242183901</v>
      </c>
      <c r="J23" t="n">
        <v>0.1531076409</v>
      </c>
      <c r="K23" t="n">
        <v>0.09150732052</v>
      </c>
      <c r="L23" t="n">
        <v>0.04945806206</v>
      </c>
      <c r="M23" t="n">
        <v>0.3562849342</v>
      </c>
      <c r="N23" t="n">
        <v>0.2639473374</v>
      </c>
      <c r="O23" t="n">
        <v>0.1665716725</v>
      </c>
      <c r="P23" t="n">
        <v>0.06163384401</v>
      </c>
      <c r="Q23" t="n">
        <v>0.3547646563</v>
      </c>
      <c r="R23" t="n">
        <v>0.2792270979</v>
      </c>
      <c r="S23" t="n">
        <v>0.2022815811</v>
      </c>
      <c r="T23" t="n">
        <v>0.13622648</v>
      </c>
      <c r="U23" t="n">
        <v>0.07724843362</v>
      </c>
      <c r="V23" t="n">
        <v>0.04371165971</v>
      </c>
      <c r="W23" t="n">
        <v>0.3597928016</v>
      </c>
      <c r="X23" t="n">
        <v>0.288351776</v>
      </c>
      <c r="Y23" t="n">
        <v>0.1976203642</v>
      </c>
      <c r="Z23" t="n">
        <v>0.08192715466</v>
      </c>
      <c r="AA23" t="n">
        <v>0.345344491</v>
      </c>
      <c r="AB23" t="n">
        <v>0.2662918638</v>
      </c>
      <c r="AC23" t="n">
        <v>0.1859682208</v>
      </c>
      <c r="AD23" t="n">
        <v>0.1225380659</v>
      </c>
      <c r="AE23" t="n">
        <v>0.067309301</v>
      </c>
      <c r="AF23" t="n">
        <v>0.04167643918</v>
      </c>
      <c r="AG23" t="n">
        <v>0.3607373521</v>
      </c>
      <c r="AH23" t="n">
        <v>0.311083133</v>
      </c>
      <c r="AI23" t="n">
        <v>0.2108725634</v>
      </c>
      <c r="AJ23" t="n">
        <v>0.1044316374</v>
      </c>
      <c r="AK23" t="n">
        <v>0.3316105459</v>
      </c>
      <c r="AL23" t="n">
        <v>0.2468239349</v>
      </c>
      <c r="AM23" t="n">
        <v>0.1705459398</v>
      </c>
      <c r="AN23" t="n">
        <v>0.1052777194</v>
      </c>
      <c r="AO23" t="n">
        <v>0.05746053906</v>
      </c>
      <c r="AP23" t="n">
        <v>0.04481185696</v>
      </c>
    </row>
    <row r="24">
      <c r="B24" t="n">
        <v>475</v>
      </c>
      <c r="C24" t="n">
        <v>0.3462400907</v>
      </c>
      <c r="D24" t="n">
        <v>0.2501284203</v>
      </c>
      <c r="E24" t="n">
        <v>0.1622935373</v>
      </c>
      <c r="F24" t="n">
        <v>0.05296162052</v>
      </c>
      <c r="G24" t="n">
        <v>0.3528844099</v>
      </c>
      <c r="H24" t="n">
        <v>0.2938809323</v>
      </c>
      <c r="I24" t="n">
        <v>0.2180023789</v>
      </c>
      <c r="J24" t="n">
        <v>0.1515159922</v>
      </c>
      <c r="K24" t="n">
        <v>0.09131989008999999</v>
      </c>
      <c r="L24" t="n">
        <v>0.0507951458</v>
      </c>
      <c r="M24" t="n">
        <v>0.3636367307</v>
      </c>
      <c r="N24" t="n">
        <v>0.2758943597</v>
      </c>
      <c r="O24" t="n">
        <v>0.184129825</v>
      </c>
      <c r="P24" t="n">
        <v>0.0663356568</v>
      </c>
      <c r="Q24" t="n">
        <v>0.349028043</v>
      </c>
      <c r="R24" t="n">
        <v>0.2678340303</v>
      </c>
      <c r="S24" t="n">
        <v>0.1987084999</v>
      </c>
      <c r="T24" t="n">
        <v>0.1349088271</v>
      </c>
      <c r="U24" t="n">
        <v>0.07733151337999999</v>
      </c>
      <c r="V24" t="n">
        <v>0.04651523889</v>
      </c>
      <c r="W24" t="n">
        <v>0.3621119577</v>
      </c>
      <c r="X24" t="n">
        <v>0.2985449664</v>
      </c>
      <c r="Y24" t="n">
        <v>0.2155416881</v>
      </c>
      <c r="Z24" t="n">
        <v>0.08851404</v>
      </c>
      <c r="AA24" t="n">
        <v>0.336499216</v>
      </c>
      <c r="AB24" t="n">
        <v>0.2564113692</v>
      </c>
      <c r="AC24" t="n">
        <v>0.1834209965</v>
      </c>
      <c r="AD24" t="n">
        <v>0.121866697</v>
      </c>
      <c r="AE24" t="n">
        <v>0.06757252392</v>
      </c>
      <c r="AF24" t="n">
        <v>0.04507141434</v>
      </c>
      <c r="AG24" t="n">
        <v>0.3592509608</v>
      </c>
      <c r="AH24" t="n">
        <v>0.3186807427</v>
      </c>
      <c r="AI24" t="n">
        <v>0.2253907171</v>
      </c>
      <c r="AJ24" t="n">
        <v>0.1127368599</v>
      </c>
      <c r="AK24" t="n">
        <v>0.3208389907</v>
      </c>
      <c r="AL24" t="n">
        <v>0.2393954358</v>
      </c>
      <c r="AM24" t="n">
        <v>0.1688911655</v>
      </c>
      <c r="AN24" t="n">
        <v>0.1049743424</v>
      </c>
      <c r="AO24" t="n">
        <v>0.05758176172</v>
      </c>
      <c r="AP24" t="n">
        <v>0.04855269931</v>
      </c>
    </row>
    <row r="25">
      <c r="B25" t="n">
        <v>480</v>
      </c>
      <c r="C25" t="n">
        <v>0.3549451205</v>
      </c>
      <c r="D25" t="n">
        <v>0.2679826653</v>
      </c>
      <c r="E25" t="n">
        <v>0.1805896079</v>
      </c>
      <c r="F25" t="n">
        <v>0.05703723124</v>
      </c>
      <c r="G25" t="n">
        <v>0.3479312958</v>
      </c>
      <c r="H25" t="n">
        <v>0.2819990056</v>
      </c>
      <c r="I25" t="n">
        <v>0.2110364069</v>
      </c>
      <c r="J25" t="n">
        <v>0.1489191376</v>
      </c>
      <c r="K25" t="n">
        <v>0.09118153443</v>
      </c>
      <c r="L25" t="n">
        <v>0.05310675553</v>
      </c>
      <c r="M25" t="n">
        <v>0.3667981082</v>
      </c>
      <c r="N25" t="n">
        <v>0.2873659748</v>
      </c>
      <c r="O25" t="n">
        <v>0.2030990206</v>
      </c>
      <c r="P25" t="n">
        <v>0.07274365888000001</v>
      </c>
      <c r="Q25" t="n">
        <v>0.3401741936</v>
      </c>
      <c r="R25" t="n">
        <v>0.2569714302</v>
      </c>
      <c r="S25" t="n">
        <v>0.1936089684</v>
      </c>
      <c r="T25" t="n">
        <v>0.1328391665</v>
      </c>
      <c r="U25" t="n">
        <v>0.07735087993</v>
      </c>
      <c r="V25" t="n">
        <v>0.05126197831</v>
      </c>
      <c r="W25" t="n">
        <v>0.3616311973</v>
      </c>
      <c r="X25" t="n">
        <v>0.3054046152</v>
      </c>
      <c r="Y25" t="n">
        <v>0.2338564533</v>
      </c>
      <c r="Z25" t="n">
        <v>0.09731088327</v>
      </c>
      <c r="AA25" t="n">
        <v>0.3256931508</v>
      </c>
      <c r="AB25" t="n">
        <v>0.2467145858</v>
      </c>
      <c r="AC25" t="n">
        <v>0.1791482528</v>
      </c>
      <c r="AD25" t="n">
        <v>0.120542987</v>
      </c>
      <c r="AE25" t="n">
        <v>0.06764664817</v>
      </c>
      <c r="AF25" t="n">
        <v>0.05055555139</v>
      </c>
      <c r="AG25" t="n">
        <v>0.3547096497</v>
      </c>
      <c r="AH25" t="n">
        <v>0.3259750958</v>
      </c>
      <c r="AI25" t="n">
        <v>0.2396354588</v>
      </c>
      <c r="AJ25" t="n">
        <v>0.1235716757</v>
      </c>
      <c r="AK25" t="n">
        <v>0.3075607484</v>
      </c>
      <c r="AL25" t="n">
        <v>0.2310941943</v>
      </c>
      <c r="AM25" t="n">
        <v>0.1659868344</v>
      </c>
      <c r="AN25" t="n">
        <v>0.1044326947</v>
      </c>
      <c r="AO25" t="n">
        <v>0.05790402663</v>
      </c>
      <c r="AP25" t="n">
        <v>0.05389430739</v>
      </c>
    </row>
    <row r="26">
      <c r="B26" t="n">
        <v>485</v>
      </c>
      <c r="C26" t="n">
        <v>0.3594908648</v>
      </c>
      <c r="D26" t="n">
        <v>0.2813986547</v>
      </c>
      <c r="E26" t="n">
        <v>0.2017936501</v>
      </c>
      <c r="F26" t="n">
        <v>0.06322361530999999</v>
      </c>
      <c r="G26" t="n">
        <v>0.3398026563</v>
      </c>
      <c r="H26" t="n">
        <v>0.2683745004</v>
      </c>
      <c r="I26" t="n">
        <v>0.2034584728</v>
      </c>
      <c r="J26" t="n">
        <v>0.1455593066</v>
      </c>
      <c r="K26" t="n">
        <v>0.09201578866</v>
      </c>
      <c r="L26" t="n">
        <v>0.05642666078</v>
      </c>
      <c r="M26" t="n">
        <v>0.3689310962</v>
      </c>
      <c r="N26" t="n">
        <v>0.2952665859</v>
      </c>
      <c r="O26" t="n">
        <v>0.2206404971</v>
      </c>
      <c r="P26" t="n">
        <v>0.08143849951</v>
      </c>
      <c r="Q26" t="n">
        <v>0.3291727047</v>
      </c>
      <c r="R26" t="n">
        <v>0.245875792</v>
      </c>
      <c r="S26" t="n">
        <v>0.1880023452</v>
      </c>
      <c r="T26" t="n">
        <v>0.130555951</v>
      </c>
      <c r="U26" t="n">
        <v>0.07793419210999999</v>
      </c>
      <c r="V26" t="n">
        <v>0.0584508946</v>
      </c>
      <c r="W26" t="n">
        <v>0.3589378423</v>
      </c>
      <c r="X26" t="n">
        <v>0.3119623115</v>
      </c>
      <c r="Y26" t="n">
        <v>0.2500968581</v>
      </c>
      <c r="Z26" t="n">
        <v>0.1084597615</v>
      </c>
      <c r="AA26" t="n">
        <v>0.3115594414</v>
      </c>
      <c r="AB26" t="n">
        <v>0.2369485944</v>
      </c>
      <c r="AC26" t="n">
        <v>0.1734310589</v>
      </c>
      <c r="AD26" t="n">
        <v>0.1190817122</v>
      </c>
      <c r="AE26" t="n">
        <v>0.06828321919999999</v>
      </c>
      <c r="AF26" t="n">
        <v>0.05929292698</v>
      </c>
      <c r="AG26" t="n">
        <v>0.3492462255</v>
      </c>
      <c r="AH26" t="n">
        <v>0.3295271328</v>
      </c>
      <c r="AI26" t="n">
        <v>0.2541690252</v>
      </c>
      <c r="AJ26" t="n">
        <v>0.1365810447</v>
      </c>
      <c r="AK26" t="n">
        <v>0.2912179497</v>
      </c>
      <c r="AL26" t="n">
        <v>0.2216672653</v>
      </c>
      <c r="AM26" t="n">
        <v>0.1616180745</v>
      </c>
      <c r="AN26" t="n">
        <v>0.1045443634</v>
      </c>
      <c r="AO26" t="n">
        <v>0.05828402124</v>
      </c>
      <c r="AP26" t="n">
        <v>0.0616278577</v>
      </c>
    </row>
    <row r="27">
      <c r="B27" t="n">
        <v>490</v>
      </c>
      <c r="C27" t="n">
        <v>0.3593636394</v>
      </c>
      <c r="D27" t="n">
        <v>0.2887021118</v>
      </c>
      <c r="E27" t="n">
        <v>0.2213186206</v>
      </c>
      <c r="F27" t="n">
        <v>0.07283941793</v>
      </c>
      <c r="G27" t="n">
        <v>0.3308333853</v>
      </c>
      <c r="H27" t="n">
        <v>0.255111605</v>
      </c>
      <c r="I27" t="n">
        <v>0.1968541009</v>
      </c>
      <c r="J27" t="n">
        <v>0.1419000326</v>
      </c>
      <c r="K27" t="n">
        <v>0.09286765345</v>
      </c>
      <c r="L27" t="n">
        <v>0.06170890229</v>
      </c>
      <c r="M27" t="n">
        <v>0.3671782577</v>
      </c>
      <c r="N27" t="n">
        <v>0.3000508141</v>
      </c>
      <c r="O27" t="n">
        <v>0.2386898298</v>
      </c>
      <c r="P27" t="n">
        <v>0.09394081223</v>
      </c>
      <c r="Q27" t="n">
        <v>0.3154923953</v>
      </c>
      <c r="R27" t="n">
        <v>0.2341460724</v>
      </c>
      <c r="S27" t="n">
        <v>0.1829080195</v>
      </c>
      <c r="T27" t="n">
        <v>0.1280292974</v>
      </c>
      <c r="U27" t="n">
        <v>0.07861273555999999</v>
      </c>
      <c r="V27" t="n">
        <v>0.06977464621</v>
      </c>
      <c r="W27" t="n">
        <v>0.3546848611</v>
      </c>
      <c r="X27" t="n">
        <v>0.3155841826</v>
      </c>
      <c r="Y27" t="n">
        <v>0.2652950054</v>
      </c>
      <c r="Z27" t="n">
        <v>0.1235734299</v>
      </c>
      <c r="AA27" t="n">
        <v>0.2958406663</v>
      </c>
      <c r="AB27" t="n">
        <v>0.2277703563</v>
      </c>
      <c r="AC27" t="n">
        <v>0.1680889164</v>
      </c>
      <c r="AD27" t="n">
        <v>0.1176579832</v>
      </c>
      <c r="AE27" t="n">
        <v>0.06901980644</v>
      </c>
      <c r="AF27" t="n">
        <v>0.07205919233999999</v>
      </c>
      <c r="AG27" t="n">
        <v>0.3432525115</v>
      </c>
      <c r="AH27" t="n">
        <v>0.331985617</v>
      </c>
      <c r="AI27" t="n">
        <v>0.2676361126</v>
      </c>
      <c r="AJ27" t="n">
        <v>0.1532183377</v>
      </c>
      <c r="AK27" t="n">
        <v>0.2743797647</v>
      </c>
      <c r="AL27" t="n">
        <v>0.2126230711</v>
      </c>
      <c r="AM27" t="n">
        <v>0.157247756</v>
      </c>
      <c r="AN27" t="n">
        <v>0.104726179</v>
      </c>
      <c r="AO27" t="n">
        <v>0.05917597672</v>
      </c>
      <c r="AP27" t="n">
        <v>0.07254909669</v>
      </c>
    </row>
    <row r="28">
      <c r="B28" t="n">
        <v>495</v>
      </c>
      <c r="C28" t="n">
        <v>0.3574507812</v>
      </c>
      <c r="D28" t="n">
        <v>0.2971102838</v>
      </c>
      <c r="E28" t="n">
        <v>0.2390419443</v>
      </c>
      <c r="F28" t="n">
        <v>0.08615452449</v>
      </c>
      <c r="G28" t="n">
        <v>0.3226644032</v>
      </c>
      <c r="H28" t="n">
        <v>0.2412586183</v>
      </c>
      <c r="I28" t="n">
        <v>0.1911211644</v>
      </c>
      <c r="J28" t="n">
        <v>0.1391585223</v>
      </c>
      <c r="K28" t="n">
        <v>0.09421968249</v>
      </c>
      <c r="L28" t="n">
        <v>0.06858389495</v>
      </c>
      <c r="M28" t="n">
        <v>0.3623911599</v>
      </c>
      <c r="N28" t="n">
        <v>0.3042873668</v>
      </c>
      <c r="O28" t="n">
        <v>0.2537954977</v>
      </c>
      <c r="P28" t="n">
        <v>0.1098025963</v>
      </c>
      <c r="Q28" t="n">
        <v>0.3021862304</v>
      </c>
      <c r="R28" t="n">
        <v>0.2230047437</v>
      </c>
      <c r="S28" t="n">
        <v>0.1784692859</v>
      </c>
      <c r="T28" t="n">
        <v>0.1261634113</v>
      </c>
      <c r="U28" t="n">
        <v>0.07940808148</v>
      </c>
      <c r="V28" t="n">
        <v>0.08493103069999999</v>
      </c>
      <c r="W28" t="n">
        <v>0.3488704605</v>
      </c>
      <c r="X28" t="n">
        <v>0.3166404659</v>
      </c>
      <c r="Y28" t="n">
        <v>0.2746565017</v>
      </c>
      <c r="Z28" t="n">
        <v>0.1417836167</v>
      </c>
      <c r="AA28" t="n">
        <v>0.2805262286</v>
      </c>
      <c r="AB28" t="n">
        <v>0.2183583988</v>
      </c>
      <c r="AC28" t="n">
        <v>0.1640331266</v>
      </c>
      <c r="AD28" t="n">
        <v>0.117025078</v>
      </c>
      <c r="AE28" t="n">
        <v>0.06994712196</v>
      </c>
      <c r="AF28" t="n">
        <v>0.08919677836999999</v>
      </c>
      <c r="AG28" t="n">
        <v>0.335720095</v>
      </c>
      <c r="AH28" t="n">
        <v>0.3315006677</v>
      </c>
      <c r="AI28" t="n">
        <v>0.2774287407</v>
      </c>
      <c r="AJ28" t="n">
        <v>0.1723630845</v>
      </c>
      <c r="AK28" t="n">
        <v>0.2587478196</v>
      </c>
      <c r="AL28" t="n">
        <v>0.2052916068</v>
      </c>
      <c r="AM28" t="n">
        <v>0.1541898415</v>
      </c>
      <c r="AN28" t="n">
        <v>0.1057491461</v>
      </c>
      <c r="AO28" t="n">
        <v>0.06040373237</v>
      </c>
      <c r="AP28" t="n">
        <v>0.08533887051</v>
      </c>
    </row>
    <row r="29">
      <c r="B29" t="n">
        <v>500</v>
      </c>
      <c r="C29" t="n">
        <v>0.3521804689</v>
      </c>
      <c r="D29" t="n">
        <v>0.2981239138</v>
      </c>
      <c r="E29" t="n">
        <v>0.2525915542</v>
      </c>
      <c r="F29" t="n">
        <v>0.1038921453</v>
      </c>
      <c r="G29" t="n">
        <v>0.3122754587</v>
      </c>
      <c r="H29" t="n">
        <v>0.2292277738</v>
      </c>
      <c r="I29" t="n">
        <v>0.1862256719</v>
      </c>
      <c r="J29" t="n">
        <v>0.1374113311</v>
      </c>
      <c r="K29" t="n">
        <v>0.09575183256</v>
      </c>
      <c r="L29" t="n">
        <v>0.0783184353</v>
      </c>
      <c r="M29" t="n">
        <v>0.3544806407</v>
      </c>
      <c r="N29" t="n">
        <v>0.304110839</v>
      </c>
      <c r="O29" t="n">
        <v>0.2656325743</v>
      </c>
      <c r="P29" t="n">
        <v>0.1298412307</v>
      </c>
      <c r="Q29" t="n">
        <v>0.2896569137</v>
      </c>
      <c r="R29" t="n">
        <v>0.2128810389</v>
      </c>
      <c r="S29" t="n">
        <v>0.1748538708</v>
      </c>
      <c r="T29" t="n">
        <v>0.1247542807</v>
      </c>
      <c r="U29" t="n">
        <v>0.08127388117999999</v>
      </c>
      <c r="V29" t="n">
        <v>0.1037037979</v>
      </c>
      <c r="W29" t="n">
        <v>0.3410376731</v>
      </c>
      <c r="X29" t="n">
        <v>0.3161100959</v>
      </c>
      <c r="Y29" t="n">
        <v>0.2799679087</v>
      </c>
      <c r="Z29" t="n">
        <v>0.1635272103</v>
      </c>
      <c r="AA29" t="n">
        <v>0.2674637924</v>
      </c>
      <c r="AB29" t="n">
        <v>0.2099050982</v>
      </c>
      <c r="AC29" t="n">
        <v>0.1612904384</v>
      </c>
      <c r="AD29" t="n">
        <v>0.1163484912</v>
      </c>
      <c r="AE29" t="n">
        <v>0.07176727888999999</v>
      </c>
      <c r="AF29" t="n">
        <v>0.1104582972</v>
      </c>
      <c r="AG29" t="n">
        <v>0.3266280511</v>
      </c>
      <c r="AH29" t="n">
        <v>0.3288391686</v>
      </c>
      <c r="AI29" t="n">
        <v>0.2836542331</v>
      </c>
      <c r="AJ29" t="n">
        <v>0.1940527925</v>
      </c>
      <c r="AK29" t="n">
        <v>0.2452984505</v>
      </c>
      <c r="AL29" t="n">
        <v>0.1996730632</v>
      </c>
      <c r="AM29" t="n">
        <v>0.1522889544</v>
      </c>
      <c r="AN29" t="n">
        <v>0.1062985089</v>
      </c>
      <c r="AO29" t="n">
        <v>0.06367658815</v>
      </c>
      <c r="AP29" t="n">
        <v>0.1002476779</v>
      </c>
    </row>
    <row r="30">
      <c r="B30" t="n">
        <v>505</v>
      </c>
      <c r="C30" t="n">
        <v>0.3441337789</v>
      </c>
      <c r="D30" t="n">
        <v>0.2963154562</v>
      </c>
      <c r="E30" t="n">
        <v>0.2614874095</v>
      </c>
      <c r="F30" t="n">
        <v>0.1252121008</v>
      </c>
      <c r="G30" t="n">
        <v>0.301774271</v>
      </c>
      <c r="H30" t="n">
        <v>0.2196215759</v>
      </c>
      <c r="I30" t="n">
        <v>0.1818269625</v>
      </c>
      <c r="J30" t="n">
        <v>0.135803063</v>
      </c>
      <c r="K30" t="n">
        <v>0.0992599324</v>
      </c>
      <c r="L30" t="n">
        <v>0.0912740662</v>
      </c>
      <c r="M30" t="n">
        <v>0.3444624114</v>
      </c>
      <c r="N30" t="n">
        <v>0.3009995516</v>
      </c>
      <c r="O30" t="n">
        <v>0.2739776163</v>
      </c>
      <c r="P30" t="n">
        <v>0.1524277983</v>
      </c>
      <c r="Q30" t="n">
        <v>0.2782984689</v>
      </c>
      <c r="R30" t="n">
        <v>0.2050279077</v>
      </c>
      <c r="S30" t="n">
        <v>0.1712251736</v>
      </c>
      <c r="T30" t="n">
        <v>0.1235865593</v>
      </c>
      <c r="U30" t="n">
        <v>0.08527625299</v>
      </c>
      <c r="V30" t="n">
        <v>0.1231406283</v>
      </c>
      <c r="W30" t="n">
        <v>0.3307115229</v>
      </c>
      <c r="X30" t="n">
        <v>0.3125211104</v>
      </c>
      <c r="Y30" t="n">
        <v>0.2819487025</v>
      </c>
      <c r="Z30" t="n">
        <v>0.1863973234</v>
      </c>
      <c r="AA30" t="n">
        <v>0.2550488079</v>
      </c>
      <c r="AB30" t="n">
        <v>0.2008423861</v>
      </c>
      <c r="AC30" t="n">
        <v>0.1593865421</v>
      </c>
      <c r="AD30" t="n">
        <v>0.1159205209</v>
      </c>
      <c r="AE30" t="n">
        <v>0.07578099537000001</v>
      </c>
      <c r="AF30" t="n">
        <v>0.1329748349</v>
      </c>
      <c r="AG30" t="n">
        <v>0.3161932811</v>
      </c>
      <c r="AH30" t="n">
        <v>0.3235877766</v>
      </c>
      <c r="AI30" t="n">
        <v>0.286211855</v>
      </c>
      <c r="AJ30" t="n">
        <v>0.2154397634</v>
      </c>
      <c r="AK30" t="n">
        <v>0.2340204555</v>
      </c>
      <c r="AL30" t="n">
        <v>0.1938307018</v>
      </c>
      <c r="AM30" t="n">
        <v>0.1506143448</v>
      </c>
      <c r="AN30" t="n">
        <v>0.1079461959</v>
      </c>
      <c r="AO30" t="n">
        <v>0.07064106125</v>
      </c>
      <c r="AP30" t="n">
        <v>0.1150457702</v>
      </c>
    </row>
    <row r="31">
      <c r="B31" t="n">
        <v>510</v>
      </c>
      <c r="C31" t="n">
        <v>0.3339021134</v>
      </c>
      <c r="D31" t="n">
        <v>0.2925460643</v>
      </c>
      <c r="E31" t="n">
        <v>0.2656092404</v>
      </c>
      <c r="F31" t="n">
        <v>0.1481823064</v>
      </c>
      <c r="G31" t="n">
        <v>0.2897703697</v>
      </c>
      <c r="H31" t="n">
        <v>0.2107893243</v>
      </c>
      <c r="I31" t="n">
        <v>0.1767793293</v>
      </c>
      <c r="J31" t="n">
        <v>0.134977383</v>
      </c>
      <c r="K31" t="n">
        <v>0.1056931298</v>
      </c>
      <c r="L31" t="n">
        <v>0.1090727029</v>
      </c>
      <c r="M31" t="n">
        <v>0.3313874683</v>
      </c>
      <c r="N31" t="n">
        <v>0.297340914</v>
      </c>
      <c r="O31" t="n">
        <v>0.2779294103</v>
      </c>
      <c r="P31" t="n">
        <v>0.1760304186</v>
      </c>
      <c r="Q31" t="n">
        <v>0.2667627355</v>
      </c>
      <c r="R31" t="n">
        <v>0.1988952938</v>
      </c>
      <c r="S31" t="n">
        <v>0.1669852429</v>
      </c>
      <c r="T31" t="n">
        <v>0.1230167192</v>
      </c>
      <c r="U31" t="n">
        <v>0.09324274684</v>
      </c>
      <c r="V31" t="n">
        <v>0.1421545171</v>
      </c>
      <c r="W31" t="n">
        <v>0.3186266248</v>
      </c>
      <c r="X31" t="n">
        <v>0.307655233</v>
      </c>
      <c r="Y31" t="n">
        <v>0.2818080546</v>
      </c>
      <c r="Z31" t="n">
        <v>0.2088217582</v>
      </c>
      <c r="AA31" t="n">
        <v>0.242947828</v>
      </c>
      <c r="AB31" t="n">
        <v>0.1936874809</v>
      </c>
      <c r="AC31" t="n">
        <v>0.1568160965</v>
      </c>
      <c r="AD31" t="n">
        <v>0.1155184013</v>
      </c>
      <c r="AE31" t="n">
        <v>0.08442179474</v>
      </c>
      <c r="AF31" t="n">
        <v>0.1545825316</v>
      </c>
      <c r="AG31" t="n">
        <v>0.3040702092</v>
      </c>
      <c r="AH31" t="n">
        <v>0.3167560467</v>
      </c>
      <c r="AI31" t="n">
        <v>0.287072008</v>
      </c>
      <c r="AJ31" t="n">
        <v>0.2351530413</v>
      </c>
      <c r="AK31" t="n">
        <v>0.2230551617</v>
      </c>
      <c r="AL31" t="n">
        <v>0.1877030264</v>
      </c>
      <c r="AM31" t="n">
        <v>0.1490061875</v>
      </c>
      <c r="AN31" t="n">
        <v>0.110693339</v>
      </c>
      <c r="AO31" t="n">
        <v>0.08419215383</v>
      </c>
      <c r="AP31" t="n">
        <v>0.130947548</v>
      </c>
    </row>
    <row r="32">
      <c r="B32" t="n">
        <v>515</v>
      </c>
      <c r="C32" t="n">
        <v>0.3203540454</v>
      </c>
      <c r="D32" t="n">
        <v>0.2881668313</v>
      </c>
      <c r="E32" t="n">
        <v>0.2678585509</v>
      </c>
      <c r="F32" t="n">
        <v>0.1703670769</v>
      </c>
      <c r="G32" t="n">
        <v>0.2774754014</v>
      </c>
      <c r="H32" t="n">
        <v>0.2028446254</v>
      </c>
      <c r="I32" t="n">
        <v>0.1697572489</v>
      </c>
      <c r="J32" t="n">
        <v>0.1337181955</v>
      </c>
      <c r="K32" t="n">
        <v>0.113748099</v>
      </c>
      <c r="L32" t="n">
        <v>0.129283235</v>
      </c>
      <c r="M32" t="n">
        <v>0.3165446933</v>
      </c>
      <c r="N32" t="n">
        <v>0.2930774061</v>
      </c>
      <c r="O32" t="n">
        <v>0.2787433627</v>
      </c>
      <c r="P32" t="n">
        <v>0.1985900991</v>
      </c>
      <c r="Q32" t="n">
        <v>0.2525046306</v>
      </c>
      <c r="R32" t="n">
        <v>0.1936863087</v>
      </c>
      <c r="S32" t="n">
        <v>0.1607955248</v>
      </c>
      <c r="T32" t="n">
        <v>0.1223116665</v>
      </c>
      <c r="U32" t="n">
        <v>0.1042748766</v>
      </c>
      <c r="V32" t="n">
        <v>0.1579373677</v>
      </c>
      <c r="W32" t="n">
        <v>0.3047593842</v>
      </c>
      <c r="X32" t="n">
        <v>0.3019816542</v>
      </c>
      <c r="Y32" t="n">
        <v>0.2793782145</v>
      </c>
      <c r="Z32" t="n">
        <v>0.2286415176</v>
      </c>
      <c r="AA32" t="n">
        <v>0.2304473644</v>
      </c>
      <c r="AB32" t="n">
        <v>0.1866019509</v>
      </c>
      <c r="AC32" t="n">
        <v>0.1528114498</v>
      </c>
      <c r="AD32" t="n">
        <v>0.114525135</v>
      </c>
      <c r="AE32" t="n">
        <v>0.09798332445000001</v>
      </c>
      <c r="AF32" t="n">
        <v>0.1728520859</v>
      </c>
      <c r="AG32" t="n">
        <v>0.2914462759</v>
      </c>
      <c r="AH32" t="n">
        <v>0.3101535878</v>
      </c>
      <c r="AI32" t="n">
        <v>0.285291882</v>
      </c>
      <c r="AJ32" t="n">
        <v>0.2512308844</v>
      </c>
      <c r="AK32" t="n">
        <v>0.2116983782</v>
      </c>
      <c r="AL32" t="n">
        <v>0.1789000592</v>
      </c>
      <c r="AM32" t="n">
        <v>0.1460483454</v>
      </c>
      <c r="AN32" t="n">
        <v>0.1136777144</v>
      </c>
      <c r="AO32" t="n">
        <v>0.1038679104</v>
      </c>
      <c r="AP32" t="n">
        <v>0.1485249991</v>
      </c>
    </row>
    <row r="33">
      <c r="B33" t="n">
        <v>520</v>
      </c>
      <c r="C33" t="n">
        <v>0.3058244352</v>
      </c>
      <c r="D33" t="n">
        <v>0.2835198577</v>
      </c>
      <c r="E33" t="n">
        <v>0.2669569366</v>
      </c>
      <c r="F33" t="n">
        <v>0.189439753</v>
      </c>
      <c r="G33" t="n">
        <v>0.2628674093</v>
      </c>
      <c r="H33" t="n">
        <v>0.1942202398</v>
      </c>
      <c r="I33" t="n">
        <v>0.1614683448</v>
      </c>
      <c r="J33" t="n">
        <v>0.1318107767</v>
      </c>
      <c r="K33" t="n">
        <v>0.1201920328</v>
      </c>
      <c r="L33" t="n">
        <v>0.146237557</v>
      </c>
      <c r="M33" t="n">
        <v>0.3005052455</v>
      </c>
      <c r="N33" t="n">
        <v>0.2875907909</v>
      </c>
      <c r="O33" t="n">
        <v>0.2774495151</v>
      </c>
      <c r="P33" t="n">
        <v>0.216597599</v>
      </c>
      <c r="Q33" t="n">
        <v>0.239763639</v>
      </c>
      <c r="R33" t="n">
        <v>0.1878655292</v>
      </c>
      <c r="S33" t="n">
        <v>0.1531761074</v>
      </c>
      <c r="T33" t="n">
        <v>0.1211069581</v>
      </c>
      <c r="U33" t="n">
        <v>0.1153205108</v>
      </c>
      <c r="V33" t="n">
        <v>0.1693271217</v>
      </c>
      <c r="W33" t="n">
        <v>0.289836921</v>
      </c>
      <c r="X33" t="n">
        <v>0.2950450779</v>
      </c>
      <c r="Y33" t="n">
        <v>0.2758351481</v>
      </c>
      <c r="Z33" t="n">
        <v>0.2428840391</v>
      </c>
      <c r="AA33" t="n">
        <v>0.2177769654</v>
      </c>
      <c r="AB33" t="n">
        <v>0.1800580089</v>
      </c>
      <c r="AC33" t="n">
        <v>0.1474527863</v>
      </c>
      <c r="AD33" t="n">
        <v>0.1132046164</v>
      </c>
      <c r="AE33" t="n">
        <v>0.1130232751</v>
      </c>
      <c r="AF33" t="n">
        <v>0.1863422717</v>
      </c>
      <c r="AG33" t="n">
        <v>0.2775854395</v>
      </c>
      <c r="AH33" t="n">
        <v>0.3007872814</v>
      </c>
      <c r="AI33" t="n">
        <v>0.2818584673</v>
      </c>
      <c r="AJ33" t="n">
        <v>0.2613361739</v>
      </c>
      <c r="AK33" t="n">
        <v>0.2002134634</v>
      </c>
      <c r="AL33" t="n">
        <v>0.1679759901</v>
      </c>
      <c r="AM33" t="n">
        <v>0.1425421951</v>
      </c>
      <c r="AN33" t="n">
        <v>0.1153949881</v>
      </c>
      <c r="AO33" t="n">
        <v>0.122886987</v>
      </c>
      <c r="AP33" t="n">
        <v>0.1688593971</v>
      </c>
    </row>
    <row r="34">
      <c r="B34" t="n">
        <v>525</v>
      </c>
      <c r="C34" t="n">
        <v>0.2903743733</v>
      </c>
      <c r="D34" t="n">
        <v>0.2771339652</v>
      </c>
      <c r="E34" t="n">
        <v>0.2637365488</v>
      </c>
      <c r="F34" t="n">
        <v>0.205288541</v>
      </c>
      <c r="G34" t="n">
        <v>0.2491042584</v>
      </c>
      <c r="H34" t="n">
        <v>0.1853803265</v>
      </c>
      <c r="I34" t="n">
        <v>0.1534723994</v>
      </c>
      <c r="J34" t="n">
        <v>0.129949245</v>
      </c>
      <c r="K34" t="n">
        <v>0.1244814437</v>
      </c>
      <c r="L34" t="n">
        <v>0.1572125112</v>
      </c>
      <c r="M34" t="n">
        <v>0.2829478617</v>
      </c>
      <c r="N34" t="n">
        <v>0.2805633236</v>
      </c>
      <c r="O34" t="n">
        <v>0.2728617262</v>
      </c>
      <c r="P34" t="n">
        <v>0.2293831624</v>
      </c>
      <c r="Q34" t="n">
        <v>0.2286280596</v>
      </c>
      <c r="R34" t="n">
        <v>0.1812070731</v>
      </c>
      <c r="S34" t="n">
        <v>0.1450228556</v>
      </c>
      <c r="T34" t="n">
        <v>0.1199933398</v>
      </c>
      <c r="U34" t="n">
        <v>0.1235346331</v>
      </c>
      <c r="V34" t="n">
        <v>0.1768363085</v>
      </c>
      <c r="W34" t="n">
        <v>0.2735691206</v>
      </c>
      <c r="X34" t="n">
        <v>0.2868289756</v>
      </c>
      <c r="Y34" t="n">
        <v>0.2709359678</v>
      </c>
      <c r="Z34" t="n">
        <v>0.2514037835</v>
      </c>
      <c r="AA34" t="n">
        <v>0.2069908096</v>
      </c>
      <c r="AB34" t="n">
        <v>0.1732607689</v>
      </c>
      <c r="AC34" t="n">
        <v>0.1427828562</v>
      </c>
      <c r="AD34" t="n">
        <v>0.1124750743</v>
      </c>
      <c r="AE34" t="n">
        <v>0.1248560858</v>
      </c>
      <c r="AF34" t="n">
        <v>0.1945165877</v>
      </c>
      <c r="AG34" t="n">
        <v>0.2625279475</v>
      </c>
      <c r="AH34" t="n">
        <v>0.2900815532</v>
      </c>
      <c r="AI34" t="n">
        <v>0.2772878955</v>
      </c>
      <c r="AJ34" t="n">
        <v>0.2657491855</v>
      </c>
      <c r="AK34" t="n">
        <v>0.1910902946</v>
      </c>
      <c r="AL34" t="n">
        <v>0.1578886406</v>
      </c>
      <c r="AM34" t="n">
        <v>0.1396903914</v>
      </c>
      <c r="AN34" t="n">
        <v>0.1166322468</v>
      </c>
      <c r="AO34" t="n">
        <v>0.135763973</v>
      </c>
      <c r="AP34" t="n">
        <v>0.1904468547</v>
      </c>
    </row>
    <row r="35">
      <c r="B35" t="n">
        <v>530</v>
      </c>
      <c r="C35" t="n">
        <v>0.2729644183</v>
      </c>
      <c r="D35" t="n">
        <v>0.2702146905</v>
      </c>
      <c r="E35" t="n">
        <v>0.2607744849</v>
      </c>
      <c r="F35" t="n">
        <v>0.217253644</v>
      </c>
      <c r="G35" t="n">
        <v>0.2363250407</v>
      </c>
      <c r="H35" t="n">
        <v>0.1788499757</v>
      </c>
      <c r="I35" t="n">
        <v>0.1474810958</v>
      </c>
      <c r="J35" t="n">
        <v>0.1285307668</v>
      </c>
      <c r="K35" t="n">
        <v>0.1273721692</v>
      </c>
      <c r="L35" t="n">
        <v>0.1627905675</v>
      </c>
      <c r="M35" t="n">
        <v>0.2653778263</v>
      </c>
      <c r="N35" t="n">
        <v>0.2728373276</v>
      </c>
      <c r="O35" t="n">
        <v>0.2673292566</v>
      </c>
      <c r="P35" t="n">
        <v>0.2369714033</v>
      </c>
      <c r="Q35" t="n">
        <v>0.219282665</v>
      </c>
      <c r="R35" t="n">
        <v>0.1755026287</v>
      </c>
      <c r="S35" t="n">
        <v>0.1388357069</v>
      </c>
      <c r="T35" t="n">
        <v>0.1192695962</v>
      </c>
      <c r="U35" t="n">
        <v>0.1287592247</v>
      </c>
      <c r="V35" t="n">
        <v>0.1811101412</v>
      </c>
      <c r="W35" t="n">
        <v>0.2578823322</v>
      </c>
      <c r="X35" t="n">
        <v>0.277110956</v>
      </c>
      <c r="Y35" t="n">
        <v>0.2656124684</v>
      </c>
      <c r="Z35" t="n">
        <v>0.2550497306</v>
      </c>
      <c r="AA35" t="n">
        <v>0.1989744765</v>
      </c>
      <c r="AB35" t="n">
        <v>0.1676443437</v>
      </c>
      <c r="AC35" t="n">
        <v>0.1397108771</v>
      </c>
      <c r="AD35" t="n">
        <v>0.1127279119</v>
      </c>
      <c r="AE35" t="n">
        <v>0.1317026461</v>
      </c>
      <c r="AF35" t="n">
        <v>0.199952022</v>
      </c>
      <c r="AG35" t="n">
        <v>0.2484728752</v>
      </c>
      <c r="AH35" t="n">
        <v>0.2781372733</v>
      </c>
      <c r="AI35" t="n">
        <v>0.271333667</v>
      </c>
      <c r="AJ35" t="n">
        <v>0.2659523189</v>
      </c>
      <c r="AK35" t="n">
        <v>0.1843221879</v>
      </c>
      <c r="AL35" t="n">
        <v>0.1501203693</v>
      </c>
      <c r="AM35" t="n">
        <v>0.1381438786</v>
      </c>
      <c r="AN35" t="n">
        <v>0.1180144704</v>
      </c>
      <c r="AO35" t="n">
        <v>0.142129183</v>
      </c>
      <c r="AP35" t="n">
        <v>0.2088408988</v>
      </c>
    </row>
    <row r="36">
      <c r="B36" t="n">
        <v>535</v>
      </c>
      <c r="C36" t="n">
        <v>0.2558480332</v>
      </c>
      <c r="D36" t="n">
        <v>0.2617277881</v>
      </c>
      <c r="E36" t="n">
        <v>0.2551406663</v>
      </c>
      <c r="F36" t="n">
        <v>0.2268846544</v>
      </c>
      <c r="G36" t="n">
        <v>0.2241684391</v>
      </c>
      <c r="H36" t="n">
        <v>0.1748193434</v>
      </c>
      <c r="I36" t="n">
        <v>0.1444826079</v>
      </c>
      <c r="J36" t="n">
        <v>0.1276149772</v>
      </c>
      <c r="K36" t="n">
        <v>0.1292707163</v>
      </c>
      <c r="L36" t="n">
        <v>0.1660873804</v>
      </c>
      <c r="M36" t="n">
        <v>0.2470981312</v>
      </c>
      <c r="N36" t="n">
        <v>0.2630644912</v>
      </c>
      <c r="O36" t="n">
        <v>0.2617565996</v>
      </c>
      <c r="P36" t="n">
        <v>0.2403842777</v>
      </c>
      <c r="Q36" t="n">
        <v>0.2103775466</v>
      </c>
      <c r="R36" t="n">
        <v>0.1712394872</v>
      </c>
      <c r="S36" t="n">
        <v>0.1357075982</v>
      </c>
      <c r="T36" t="n">
        <v>0.118913073</v>
      </c>
      <c r="U36" t="n">
        <v>0.1325006619</v>
      </c>
      <c r="V36" t="n">
        <v>0.1839574616</v>
      </c>
      <c r="W36" t="n">
        <v>0.2411618972</v>
      </c>
      <c r="X36" t="n">
        <v>0.2651322107</v>
      </c>
      <c r="Y36" t="n">
        <v>0.2595466891</v>
      </c>
      <c r="Z36" t="n">
        <v>0.2546822306</v>
      </c>
      <c r="AA36" t="n">
        <v>0.1934975155</v>
      </c>
      <c r="AB36" t="n">
        <v>0.1633486478</v>
      </c>
      <c r="AC36" t="n">
        <v>0.1384444978</v>
      </c>
      <c r="AD36" t="n">
        <v>0.1138094195</v>
      </c>
      <c r="AE36" t="n">
        <v>0.1358467726</v>
      </c>
      <c r="AF36" t="n">
        <v>0.2033306916</v>
      </c>
      <c r="AG36" t="n">
        <v>0.2330568858</v>
      </c>
      <c r="AH36" t="n">
        <v>0.2638942273</v>
      </c>
      <c r="AI36" t="n">
        <v>0.2633574943</v>
      </c>
      <c r="AJ36" t="n">
        <v>0.2624954139</v>
      </c>
      <c r="AK36" t="n">
        <v>0.180816576</v>
      </c>
      <c r="AL36" t="n">
        <v>0.145956884</v>
      </c>
      <c r="AM36" t="n">
        <v>0.1378012583</v>
      </c>
      <c r="AN36" t="n">
        <v>0.1193469151</v>
      </c>
      <c r="AO36" t="n">
        <v>0.1456641691</v>
      </c>
      <c r="AP36" t="n">
        <v>0.2208524266</v>
      </c>
    </row>
    <row r="37">
      <c r="B37" t="n">
        <v>540</v>
      </c>
      <c r="C37" t="n">
        <v>0.2374567591</v>
      </c>
      <c r="D37" t="n">
        <v>0.2520581122</v>
      </c>
      <c r="E37" t="n">
        <v>0.2495550483</v>
      </c>
      <c r="F37" t="n">
        <v>0.2336508156</v>
      </c>
      <c r="G37" t="n">
        <v>0.2123871014</v>
      </c>
      <c r="H37" t="n">
        <v>0.1728259877</v>
      </c>
      <c r="I37" t="n">
        <v>0.1441890173</v>
      </c>
      <c r="J37" t="n">
        <v>0.1278753167</v>
      </c>
      <c r="K37" t="n">
        <v>0.1324791902</v>
      </c>
      <c r="L37" t="n">
        <v>0.1703381077</v>
      </c>
      <c r="M37" t="n">
        <v>0.2300260982</v>
      </c>
      <c r="N37" t="n">
        <v>0.2529439474</v>
      </c>
      <c r="O37" t="n">
        <v>0.2536214641</v>
      </c>
      <c r="P37" t="n">
        <v>0.2415188379</v>
      </c>
      <c r="Q37" t="n">
        <v>0.2033710107</v>
      </c>
      <c r="R37" t="n">
        <v>0.1694151813</v>
      </c>
      <c r="S37" t="n">
        <v>0.1359933238</v>
      </c>
      <c r="T37" t="n">
        <v>0.1199100496</v>
      </c>
      <c r="U37" t="n">
        <v>0.1367886496</v>
      </c>
      <c r="V37" t="n">
        <v>0.186629684</v>
      </c>
      <c r="W37" t="n">
        <v>0.2259783884</v>
      </c>
      <c r="X37" t="n">
        <v>0.2501783523</v>
      </c>
      <c r="Y37" t="n">
        <v>0.2515895967</v>
      </c>
      <c r="Z37" t="n">
        <v>0.2520012938</v>
      </c>
      <c r="AA37" t="n">
        <v>0.1898425085</v>
      </c>
      <c r="AB37" t="n">
        <v>0.160810521</v>
      </c>
      <c r="AC37" t="n">
        <v>0.1391548033</v>
      </c>
      <c r="AD37" t="n">
        <v>0.116570109</v>
      </c>
      <c r="AE37" t="n">
        <v>0.1406197719</v>
      </c>
      <c r="AF37" t="n">
        <v>0.2056272328</v>
      </c>
      <c r="AG37" t="n">
        <v>0.2192997609</v>
      </c>
      <c r="AH37" t="n">
        <v>0.2506130906</v>
      </c>
      <c r="AI37" t="n">
        <v>0.2555080071</v>
      </c>
      <c r="AJ37" t="n">
        <v>0.2568878796</v>
      </c>
      <c r="AK37" t="n">
        <v>0.1788370854</v>
      </c>
      <c r="AL37" t="n">
        <v>0.1456274326</v>
      </c>
      <c r="AM37" t="n">
        <v>0.1386929347</v>
      </c>
      <c r="AN37" t="n">
        <v>0.1225620127</v>
      </c>
      <c r="AO37" t="n">
        <v>0.1510412969</v>
      </c>
      <c r="AP37" t="n">
        <v>0.2277689211</v>
      </c>
    </row>
    <row r="38">
      <c r="B38" t="n">
        <v>545</v>
      </c>
      <c r="C38" t="n">
        <v>0.2206066048</v>
      </c>
      <c r="D38" t="n">
        <v>0.2407993449</v>
      </c>
      <c r="E38" t="n">
        <v>0.2424520938</v>
      </c>
      <c r="F38" t="n">
        <v>0.2386381244</v>
      </c>
      <c r="G38" t="n">
        <v>0.2011438359</v>
      </c>
      <c r="H38" t="n">
        <v>0.1730456338</v>
      </c>
      <c r="I38" t="n">
        <v>0.1466316121</v>
      </c>
      <c r="J38" t="n">
        <v>0.1296004029</v>
      </c>
      <c r="K38" t="n">
        <v>0.1361740616</v>
      </c>
      <c r="L38" t="n">
        <v>0.1776629836</v>
      </c>
      <c r="M38" t="n">
        <v>0.2127359434</v>
      </c>
      <c r="N38" t="n">
        <v>0.2414455581</v>
      </c>
      <c r="O38" t="n">
        <v>0.2442185817</v>
      </c>
      <c r="P38" t="n">
        <v>0.2413654845</v>
      </c>
      <c r="Q38" t="n">
        <v>0.1965545402</v>
      </c>
      <c r="R38" t="n">
        <v>0.1696223932</v>
      </c>
      <c r="S38" t="n">
        <v>0.1388567212</v>
      </c>
      <c r="T38" t="n">
        <v>0.1222404797</v>
      </c>
      <c r="U38" t="n">
        <v>0.1430686976</v>
      </c>
      <c r="V38" t="n">
        <v>0.1900718909</v>
      </c>
      <c r="W38" t="n">
        <v>0.2097602224</v>
      </c>
      <c r="X38" t="n">
        <v>0.2365301882</v>
      </c>
      <c r="Y38" t="n">
        <v>0.2421464087</v>
      </c>
      <c r="Z38" t="n">
        <v>0.2476427795</v>
      </c>
      <c r="AA38" t="n">
        <v>0.1866548318</v>
      </c>
      <c r="AB38" t="n">
        <v>0.1595250452</v>
      </c>
      <c r="AC38" t="n">
        <v>0.1417416875</v>
      </c>
      <c r="AD38" t="n">
        <v>0.1212617217</v>
      </c>
      <c r="AE38" t="n">
        <v>0.149256505</v>
      </c>
      <c r="AF38" t="n">
        <v>0.207393831</v>
      </c>
      <c r="AG38" t="n">
        <v>0.2053189051</v>
      </c>
      <c r="AH38" t="n">
        <v>0.2348814286</v>
      </c>
      <c r="AI38" t="n">
        <v>0.244611829</v>
      </c>
      <c r="AJ38" t="n">
        <v>0.2494246633</v>
      </c>
      <c r="AK38" t="n">
        <v>0.1783971937</v>
      </c>
      <c r="AL38" t="n">
        <v>0.1482556264</v>
      </c>
      <c r="AM38" t="n">
        <v>0.1412836338</v>
      </c>
      <c r="AN38" t="n">
        <v>0.1268878607</v>
      </c>
      <c r="AO38" t="n">
        <v>0.1614945108</v>
      </c>
      <c r="AP38" t="n">
        <v>0.2315990689</v>
      </c>
    </row>
    <row r="39">
      <c r="B39" t="n">
        <v>550</v>
      </c>
      <c r="C39" t="n">
        <v>0.2026695096</v>
      </c>
      <c r="D39" t="n">
        <v>0.2285918213</v>
      </c>
      <c r="E39" t="n">
        <v>0.2336097196</v>
      </c>
      <c r="F39" t="n">
        <v>0.2402201813</v>
      </c>
      <c r="G39" t="n">
        <v>0.1897726107</v>
      </c>
      <c r="H39" t="n">
        <v>0.1740029101</v>
      </c>
      <c r="I39" t="n">
        <v>0.1492986721</v>
      </c>
      <c r="J39" t="n">
        <v>0.1330988288</v>
      </c>
      <c r="K39" t="n">
        <v>0.1426520605</v>
      </c>
      <c r="L39" t="n">
        <v>0.1912087392</v>
      </c>
      <c r="M39" t="n">
        <v>0.1957928362</v>
      </c>
      <c r="N39" t="n">
        <v>0.228568666</v>
      </c>
      <c r="O39" t="n">
        <v>0.2340710985</v>
      </c>
      <c r="P39" t="n">
        <v>0.2396507755</v>
      </c>
      <c r="Q39" t="n">
        <v>0.189123505</v>
      </c>
      <c r="R39" t="n">
        <v>0.1717031446</v>
      </c>
      <c r="S39" t="n">
        <v>0.1428191482</v>
      </c>
      <c r="T39" t="n">
        <v>0.1276503866</v>
      </c>
      <c r="U39" t="n">
        <v>0.1543439864</v>
      </c>
      <c r="V39" t="n">
        <v>0.196969569</v>
      </c>
      <c r="W39" t="n">
        <v>0.1945662483</v>
      </c>
      <c r="X39" t="n">
        <v>0.2224851516</v>
      </c>
      <c r="Y39" t="n">
        <v>0.2314621506</v>
      </c>
      <c r="Z39" t="n">
        <v>0.2418528475</v>
      </c>
      <c r="AA39" t="n">
        <v>0.1833501838</v>
      </c>
      <c r="AB39" t="n">
        <v>0.1595855777</v>
      </c>
      <c r="AC39" t="n">
        <v>0.1452914725</v>
      </c>
      <c r="AD39" t="n">
        <v>0.1305437828</v>
      </c>
      <c r="AE39" t="n">
        <v>0.1649814562</v>
      </c>
      <c r="AF39" t="n">
        <v>0.2095036603</v>
      </c>
      <c r="AG39" t="n">
        <v>0.1915980513</v>
      </c>
      <c r="AH39" t="n">
        <v>0.2173864147</v>
      </c>
      <c r="AI39" t="n">
        <v>0.2326281969</v>
      </c>
      <c r="AJ39" t="n">
        <v>0.2407264597</v>
      </c>
      <c r="AK39" t="n">
        <v>0.1774184292</v>
      </c>
      <c r="AL39" t="n">
        <v>0.1517106684</v>
      </c>
      <c r="AM39" t="n">
        <v>0.1447518043</v>
      </c>
      <c r="AN39" t="n">
        <v>0.1348485381</v>
      </c>
      <c r="AO39" t="n">
        <v>0.1809730373</v>
      </c>
      <c r="AP39" t="n">
        <v>0.2329386596</v>
      </c>
    </row>
    <row r="40">
      <c r="B40" t="n">
        <v>555</v>
      </c>
      <c r="C40" t="n">
        <v>0.1852187868</v>
      </c>
      <c r="D40" t="n">
        <v>0.215413616</v>
      </c>
      <c r="E40" t="n">
        <v>0.2241736255</v>
      </c>
      <c r="F40" t="n">
        <v>0.2412854231</v>
      </c>
      <c r="G40" t="n">
        <v>0.1775428133</v>
      </c>
      <c r="H40" t="n">
        <v>0.1742431786</v>
      </c>
      <c r="I40" t="n">
        <v>0.15070535</v>
      </c>
      <c r="J40" t="n">
        <v>0.1386520614</v>
      </c>
      <c r="K40" t="n">
        <v>0.1527046353</v>
      </c>
      <c r="L40" t="n">
        <v>0.2077797368</v>
      </c>
      <c r="M40" t="n">
        <v>0.1796071021</v>
      </c>
      <c r="N40" t="n">
        <v>0.2131961372</v>
      </c>
      <c r="O40" t="n">
        <v>0.2222687263</v>
      </c>
      <c r="P40" t="n">
        <v>0.2364932847</v>
      </c>
      <c r="Q40" t="n">
        <v>0.1809577814</v>
      </c>
      <c r="R40" t="n">
        <v>0.1736760271</v>
      </c>
      <c r="S40" t="n">
        <v>0.1455239106</v>
      </c>
      <c r="T40" t="n">
        <v>0.1373762252</v>
      </c>
      <c r="U40" t="n">
        <v>0.1701777073</v>
      </c>
      <c r="V40" t="n">
        <v>0.2042328453</v>
      </c>
      <c r="W40" t="n">
        <v>0.1794933616</v>
      </c>
      <c r="X40" t="n">
        <v>0.2079553757</v>
      </c>
      <c r="Y40" t="n">
        <v>0.2212804255</v>
      </c>
      <c r="Z40" t="n">
        <v>0.2348775483</v>
      </c>
      <c r="AA40" t="n">
        <v>0.1788306523</v>
      </c>
      <c r="AB40" t="n">
        <v>0.1590930324</v>
      </c>
      <c r="AC40" t="n">
        <v>0.1481467792</v>
      </c>
      <c r="AD40" t="n">
        <v>0.1451453963</v>
      </c>
      <c r="AE40" t="n">
        <v>0.1878543198</v>
      </c>
      <c r="AF40" t="n">
        <v>0.2120470841</v>
      </c>
      <c r="AG40" t="n">
        <v>0.1785045489</v>
      </c>
      <c r="AH40" t="n">
        <v>0.1993961017</v>
      </c>
      <c r="AI40" t="n">
        <v>0.2201893873</v>
      </c>
      <c r="AJ40" t="n">
        <v>0.2311414638</v>
      </c>
      <c r="AK40" t="n">
        <v>0.175504121</v>
      </c>
      <c r="AL40" t="n">
        <v>0.1530575881</v>
      </c>
      <c r="AM40" t="n">
        <v>0.147335965</v>
      </c>
      <c r="AN40" t="n">
        <v>0.1476814254</v>
      </c>
      <c r="AO40" t="n">
        <v>0.2072899004</v>
      </c>
      <c r="AP40" t="n">
        <v>0.2328957429</v>
      </c>
    </row>
    <row r="41">
      <c r="B41" t="n">
        <v>560</v>
      </c>
      <c r="C41" t="n">
        <v>0.1682120435</v>
      </c>
      <c r="D41" t="n">
        <v>0.2027358729</v>
      </c>
      <c r="E41" t="n">
        <v>0.2139075958</v>
      </c>
      <c r="F41" t="n">
        <v>0.2403581104</v>
      </c>
      <c r="G41" t="n">
        <v>0.1662889496</v>
      </c>
      <c r="H41" t="n">
        <v>0.1731739669</v>
      </c>
      <c r="I41" t="n">
        <v>0.1503617441</v>
      </c>
      <c r="J41" t="n">
        <v>0.1473819755</v>
      </c>
      <c r="K41" t="n">
        <v>0.1667727996</v>
      </c>
      <c r="L41" t="n">
        <v>0.2247102616</v>
      </c>
      <c r="M41" t="n">
        <v>0.1646147295</v>
      </c>
      <c r="N41" t="n">
        <v>0.1990236241</v>
      </c>
      <c r="O41" t="n">
        <v>0.2103646747</v>
      </c>
      <c r="P41" t="n">
        <v>0.2321441848</v>
      </c>
      <c r="Q41" t="n">
        <v>0.1719948135</v>
      </c>
      <c r="R41" t="n">
        <v>0.1750534732</v>
      </c>
      <c r="S41" t="n">
        <v>0.1463096369</v>
      </c>
      <c r="T41" t="n">
        <v>0.1532750259</v>
      </c>
      <c r="U41" t="n">
        <v>0.1910148457</v>
      </c>
      <c r="V41" t="n">
        <v>0.2135779908</v>
      </c>
      <c r="W41" t="n">
        <v>0.165726744</v>
      </c>
      <c r="X41" t="n">
        <v>0.1909153568</v>
      </c>
      <c r="Y41" t="n">
        <v>0.2093285856</v>
      </c>
      <c r="Z41" t="n">
        <v>0.2270299374</v>
      </c>
      <c r="AA41" t="n">
        <v>0.1735904104</v>
      </c>
      <c r="AB41" t="n">
        <v>0.1578307344</v>
      </c>
      <c r="AC41" t="n">
        <v>0.1485602912</v>
      </c>
      <c r="AD41" t="n">
        <v>0.165732963</v>
      </c>
      <c r="AE41" t="n">
        <v>0.2148843366</v>
      </c>
      <c r="AF41" t="n">
        <v>0.2155087724</v>
      </c>
      <c r="AG41" t="n">
        <v>0.166583229</v>
      </c>
      <c r="AH41" t="n">
        <v>0.1822597563</v>
      </c>
      <c r="AI41" t="n">
        <v>0.2074627558</v>
      </c>
      <c r="AJ41" t="n">
        <v>0.2209927206</v>
      </c>
      <c r="AK41" t="n">
        <v>0.1722455148</v>
      </c>
      <c r="AL41" t="n">
        <v>0.1517434496</v>
      </c>
      <c r="AM41" t="n">
        <v>0.1477213766</v>
      </c>
      <c r="AN41" t="n">
        <v>0.1649320317</v>
      </c>
      <c r="AO41" t="n">
        <v>0.2333533523</v>
      </c>
      <c r="AP41" t="n">
        <v>0.2333447512</v>
      </c>
    </row>
    <row r="42">
      <c r="B42" t="n">
        <v>565</v>
      </c>
      <c r="C42" t="n">
        <v>0.1547079899</v>
      </c>
      <c r="D42" t="n">
        <v>0.1895127642</v>
      </c>
      <c r="E42" t="n">
        <v>0.203874082</v>
      </c>
      <c r="F42" t="n">
        <v>0.2386447523</v>
      </c>
      <c r="G42" t="n">
        <v>0.1570973183</v>
      </c>
      <c r="H42" t="n">
        <v>0.1716675541</v>
      </c>
      <c r="I42" t="n">
        <v>0.1508669465</v>
      </c>
      <c r="J42" t="n">
        <v>0.1587258324</v>
      </c>
      <c r="K42" t="n">
        <v>0.1857837965</v>
      </c>
      <c r="L42" t="n">
        <v>0.2377641769</v>
      </c>
      <c r="M42" t="n">
        <v>0.1519048008</v>
      </c>
      <c r="N42" t="n">
        <v>0.1840685763</v>
      </c>
      <c r="O42" t="n">
        <v>0.198087294</v>
      </c>
      <c r="P42" t="n">
        <v>0.2280585294</v>
      </c>
      <c r="Q42" t="n">
        <v>0.1648817838</v>
      </c>
      <c r="R42" t="n">
        <v>0.1746631746</v>
      </c>
      <c r="S42" t="n">
        <v>0.1482085492</v>
      </c>
      <c r="T42" t="n">
        <v>0.1727686643</v>
      </c>
      <c r="U42" t="n">
        <v>0.2138674804</v>
      </c>
      <c r="V42" t="n">
        <v>0.2221210028</v>
      </c>
      <c r="W42" t="n">
        <v>0.1543164536</v>
      </c>
      <c r="X42" t="n">
        <v>0.1764750004</v>
      </c>
      <c r="Y42" t="n">
        <v>0.1968611394</v>
      </c>
      <c r="Z42" t="n">
        <v>0.2191099516</v>
      </c>
      <c r="AA42" t="n">
        <v>0.1692085995</v>
      </c>
      <c r="AB42" t="n">
        <v>0.156477121</v>
      </c>
      <c r="AC42" t="n">
        <v>0.1483866474</v>
      </c>
      <c r="AD42" t="n">
        <v>0.1869645698</v>
      </c>
      <c r="AE42" t="n">
        <v>0.2397559385</v>
      </c>
      <c r="AF42" t="n">
        <v>0.2180994142</v>
      </c>
      <c r="AG42" t="n">
        <v>0.1564645994</v>
      </c>
      <c r="AH42" t="n">
        <v>0.1658013464</v>
      </c>
      <c r="AI42" t="n">
        <v>0.1932434923</v>
      </c>
      <c r="AJ42" t="n">
        <v>0.2106207909</v>
      </c>
      <c r="AK42" t="n">
        <v>0.1697283092</v>
      </c>
      <c r="AL42" t="n">
        <v>0.1518581548</v>
      </c>
      <c r="AM42" t="n">
        <v>0.1467456361</v>
      </c>
      <c r="AN42" t="n">
        <v>0.1845748523</v>
      </c>
      <c r="AO42" t="n">
        <v>0.2525371781</v>
      </c>
      <c r="AP42" t="n">
        <v>0.2327571598</v>
      </c>
    </row>
    <row r="43">
      <c r="B43" t="n">
        <v>570</v>
      </c>
      <c r="C43" t="n">
        <v>0.1423631434</v>
      </c>
      <c r="D43" t="n">
        <v>0.1753482774</v>
      </c>
      <c r="E43" t="n">
        <v>0.1930872548</v>
      </c>
      <c r="F43" t="n">
        <v>0.2353650188</v>
      </c>
      <c r="G43" t="n">
        <v>0.1507564546</v>
      </c>
      <c r="H43" t="n">
        <v>0.1709232945</v>
      </c>
      <c r="I43" t="n">
        <v>0.1545028343</v>
      </c>
      <c r="J43" t="n">
        <v>0.1728990375</v>
      </c>
      <c r="K43" t="n">
        <v>0.2087310653</v>
      </c>
      <c r="L43" t="n">
        <v>0.2467573473</v>
      </c>
      <c r="M43" t="n">
        <v>0.1411432446</v>
      </c>
      <c r="N43" t="n">
        <v>0.1700817237</v>
      </c>
      <c r="O43" t="n">
        <v>0.185524795</v>
      </c>
      <c r="P43" t="n">
        <v>0.222701368</v>
      </c>
      <c r="Q43" t="n">
        <v>0.1598527185</v>
      </c>
      <c r="R43" t="n">
        <v>0.1731121758</v>
      </c>
      <c r="S43" t="n">
        <v>0.1544800747</v>
      </c>
      <c r="T43" t="n">
        <v>0.1934923676</v>
      </c>
      <c r="U43" t="n">
        <v>0.2360209786</v>
      </c>
      <c r="V43" t="n">
        <v>0.2300190359</v>
      </c>
      <c r="W43" t="n">
        <v>0.144610292</v>
      </c>
      <c r="X43" t="n">
        <v>0.1625472207</v>
      </c>
      <c r="Y43" t="n">
        <v>0.1845922886</v>
      </c>
      <c r="Z43" t="n">
        <v>0.2104403211</v>
      </c>
      <c r="AA43" t="n">
        <v>0.1665973574</v>
      </c>
      <c r="AB43" t="n">
        <v>0.1570230705</v>
      </c>
      <c r="AC43" t="n">
        <v>0.150606104</v>
      </c>
      <c r="AD43" t="n">
        <v>0.2057723631</v>
      </c>
      <c r="AE43" t="n">
        <v>0.2576891823</v>
      </c>
      <c r="AF43" t="n">
        <v>0.2210811178</v>
      </c>
      <c r="AG43" t="n">
        <v>0.1486242299</v>
      </c>
      <c r="AH43" t="n">
        <v>0.1514560285</v>
      </c>
      <c r="AI43" t="n">
        <v>0.1798594857</v>
      </c>
      <c r="AJ43" t="n">
        <v>0.1999364729</v>
      </c>
      <c r="AK43" t="n">
        <v>0.1699003517</v>
      </c>
      <c r="AL43" t="n">
        <v>0.1554942254</v>
      </c>
      <c r="AM43" t="n">
        <v>0.1476435647</v>
      </c>
      <c r="AN43" t="n">
        <v>0.2046410455</v>
      </c>
      <c r="AO43" t="n">
        <v>0.2633817598</v>
      </c>
      <c r="AP43" t="n">
        <v>0.2311579163</v>
      </c>
    </row>
    <row r="44">
      <c r="B44" t="n">
        <v>575</v>
      </c>
      <c r="C44" t="n">
        <v>0.1329910593</v>
      </c>
      <c r="D44" t="n">
        <v>0.1616779762</v>
      </c>
      <c r="E44" t="n">
        <v>0.1822960658</v>
      </c>
      <c r="F44" t="n">
        <v>0.2309504831</v>
      </c>
      <c r="G44" t="n">
        <v>0.1465508996</v>
      </c>
      <c r="H44" t="n">
        <v>0.172237761</v>
      </c>
      <c r="I44" t="n">
        <v>0.1644134642</v>
      </c>
      <c r="J44" t="n">
        <v>0.1927555064</v>
      </c>
      <c r="K44" t="n">
        <v>0.2353778728</v>
      </c>
      <c r="L44" t="n">
        <v>0.2523081389</v>
      </c>
      <c r="M44" t="n">
        <v>0.1327401928</v>
      </c>
      <c r="N44" t="n">
        <v>0.156035497</v>
      </c>
      <c r="O44" t="n">
        <v>0.1740131618</v>
      </c>
      <c r="P44" t="n">
        <v>0.2178258092</v>
      </c>
      <c r="Q44" t="n">
        <v>0.1565922998</v>
      </c>
      <c r="R44" t="n">
        <v>0.1717065091</v>
      </c>
      <c r="S44" t="n">
        <v>0.1678881844</v>
      </c>
      <c r="T44" t="n">
        <v>0.2175216174</v>
      </c>
      <c r="U44" t="n">
        <v>0.2563518747</v>
      </c>
      <c r="V44" t="n">
        <v>0.2355785398</v>
      </c>
      <c r="W44" t="n">
        <v>0.1371622445</v>
      </c>
      <c r="X44" t="n">
        <v>0.1491432596</v>
      </c>
      <c r="Y44" t="n">
        <v>0.1719149532</v>
      </c>
      <c r="Z44" t="n">
        <v>0.2021224197</v>
      </c>
      <c r="AA44" t="n">
        <v>0.1667928934</v>
      </c>
      <c r="AB44" t="n">
        <v>0.1625455663</v>
      </c>
      <c r="AC44" t="n">
        <v>0.1594325622</v>
      </c>
      <c r="AD44" t="n">
        <v>0.2263975202</v>
      </c>
      <c r="AE44" t="n">
        <v>0.2694676193</v>
      </c>
      <c r="AF44" t="n">
        <v>0.2223217287</v>
      </c>
      <c r="AG44" t="n">
        <v>0.1427113017</v>
      </c>
      <c r="AH44" t="n">
        <v>0.1390595487</v>
      </c>
      <c r="AI44" t="n">
        <v>0.1660685181</v>
      </c>
      <c r="AJ44" t="n">
        <v>0.1895727163</v>
      </c>
      <c r="AK44" t="n">
        <v>0.1717330836</v>
      </c>
      <c r="AL44" t="n">
        <v>0.1656649054</v>
      </c>
      <c r="AM44" t="n">
        <v>0.1564881008</v>
      </c>
      <c r="AN44" t="n">
        <v>0.2283923536</v>
      </c>
      <c r="AO44" t="n">
        <v>0.2692571176</v>
      </c>
      <c r="AP44" t="n">
        <v>0.2289108284</v>
      </c>
    </row>
    <row r="45">
      <c r="B45" t="n">
        <v>580</v>
      </c>
      <c r="C45" t="n">
        <v>0.1251006891</v>
      </c>
      <c r="D45" t="n">
        <v>0.1491869952</v>
      </c>
      <c r="E45" t="n">
        <v>0.1711816835</v>
      </c>
      <c r="F45" t="n">
        <v>0.2265534758</v>
      </c>
      <c r="G45" t="n">
        <v>0.1439305002</v>
      </c>
      <c r="H45" t="n">
        <v>0.1753849674</v>
      </c>
      <c r="I45" t="n">
        <v>0.18072147</v>
      </c>
      <c r="J45" t="n">
        <v>0.2198771355</v>
      </c>
      <c r="K45" t="n">
        <v>0.2630130985</v>
      </c>
      <c r="L45" t="n">
        <v>0.255865875</v>
      </c>
      <c r="M45" t="n">
        <v>0.1260072198</v>
      </c>
      <c r="N45" t="n">
        <v>0.1433675468</v>
      </c>
      <c r="O45" t="n">
        <v>0.162614793</v>
      </c>
      <c r="P45" t="n">
        <v>0.2119069241</v>
      </c>
      <c r="Q45" t="n">
        <v>0.1554507654</v>
      </c>
      <c r="R45" t="n">
        <v>0.1722329964</v>
      </c>
      <c r="S45" t="n">
        <v>0.1888497792</v>
      </c>
      <c r="T45" t="n">
        <v>0.2469495165</v>
      </c>
      <c r="U45" t="n">
        <v>0.2741779239</v>
      </c>
      <c r="V45" t="n">
        <v>0.2397795398</v>
      </c>
      <c r="W45" t="n">
        <v>0.1311634055</v>
      </c>
      <c r="X45" t="n">
        <v>0.1373225312</v>
      </c>
      <c r="Y45" t="n">
        <v>0.1585850581</v>
      </c>
      <c r="Z45" t="n">
        <v>0.1938818852</v>
      </c>
      <c r="AA45" t="n">
        <v>0.1684103431</v>
      </c>
      <c r="AB45" t="n">
        <v>0.1741913633</v>
      </c>
      <c r="AC45" t="n">
        <v>0.1785629448</v>
      </c>
      <c r="AD45" t="n">
        <v>0.2533800156</v>
      </c>
      <c r="AE45" t="n">
        <v>0.2773335253</v>
      </c>
      <c r="AF45" t="n">
        <v>0.2239135847</v>
      </c>
      <c r="AG45" t="n">
        <v>0.1382746543</v>
      </c>
      <c r="AH45" t="n">
        <v>0.1286159355</v>
      </c>
      <c r="AI45" t="n">
        <v>0.1525159222</v>
      </c>
      <c r="AJ45" t="n">
        <v>0.1800398712</v>
      </c>
      <c r="AK45" t="n">
        <v>0.1762269701</v>
      </c>
      <c r="AL45" t="n">
        <v>0.1831836289</v>
      </c>
      <c r="AM45" t="n">
        <v>0.1775431056</v>
      </c>
      <c r="AN45" t="n">
        <v>0.2570450053</v>
      </c>
      <c r="AO45" t="n">
        <v>0.2722380961</v>
      </c>
      <c r="AP45" t="n">
        <v>0.2268301227</v>
      </c>
    </row>
    <row r="46">
      <c r="B46" t="n">
        <v>585</v>
      </c>
      <c r="C46" t="n">
        <v>0.1184755637</v>
      </c>
      <c r="D46" t="n">
        <v>0.1362014656</v>
      </c>
      <c r="E46" t="n">
        <v>0.1605401002</v>
      </c>
      <c r="F46" t="n">
        <v>0.2206131702</v>
      </c>
      <c r="G46" t="n">
        <v>0.1427805045</v>
      </c>
      <c r="H46" t="n">
        <v>0.1801652254</v>
      </c>
      <c r="I46" t="n">
        <v>0.2039880424</v>
      </c>
      <c r="J46" t="n">
        <v>0.252960093</v>
      </c>
      <c r="K46" t="n">
        <v>0.288465752</v>
      </c>
      <c r="L46" t="n">
        <v>0.258017715</v>
      </c>
      <c r="M46" t="n">
        <v>0.1208960693</v>
      </c>
      <c r="N46" t="n">
        <v>0.1305468459</v>
      </c>
      <c r="O46" t="n">
        <v>0.1503348368</v>
      </c>
      <c r="P46" t="n">
        <v>0.2050348397</v>
      </c>
      <c r="Q46" t="n">
        <v>0.1552856581</v>
      </c>
      <c r="R46" t="n">
        <v>0.1738382391</v>
      </c>
      <c r="S46" t="n">
        <v>0.2169547926</v>
      </c>
      <c r="T46" t="n">
        <v>0.2782482095</v>
      </c>
      <c r="U46" t="n">
        <v>0.287829694</v>
      </c>
      <c r="V46" t="n">
        <v>0.2426102556</v>
      </c>
      <c r="W46" t="n">
        <v>0.1267125668</v>
      </c>
      <c r="X46" t="n">
        <v>0.1250487081</v>
      </c>
      <c r="Y46" t="n">
        <v>0.1451980946</v>
      </c>
      <c r="Z46" t="n">
        <v>0.1848167169</v>
      </c>
      <c r="AA46" t="n">
        <v>0.1713045427</v>
      </c>
      <c r="AB46" t="n">
        <v>0.1872842801</v>
      </c>
      <c r="AC46" t="n">
        <v>0.2086189171</v>
      </c>
      <c r="AD46" t="n">
        <v>0.2836305534</v>
      </c>
      <c r="AE46" t="n">
        <v>0.2824604863</v>
      </c>
      <c r="AF46" t="n">
        <v>0.2248039915</v>
      </c>
      <c r="AG46" t="n">
        <v>0.1349200807</v>
      </c>
      <c r="AH46" t="n">
        <v>0.1193867949</v>
      </c>
      <c r="AI46" t="n">
        <v>0.1394301307</v>
      </c>
      <c r="AJ46" t="n">
        <v>0.1698669483</v>
      </c>
      <c r="AK46" t="n">
        <v>0.1827820359</v>
      </c>
      <c r="AL46" t="n">
        <v>0.2069811607</v>
      </c>
      <c r="AM46" t="n">
        <v>0.2133479656</v>
      </c>
      <c r="AN46" t="n">
        <v>0.2875310637</v>
      </c>
      <c r="AO46" t="n">
        <v>0.2737028641</v>
      </c>
      <c r="AP46" t="n">
        <v>0.225082053</v>
      </c>
    </row>
    <row r="47">
      <c r="B47" t="n">
        <v>590</v>
      </c>
      <c r="C47" t="n">
        <v>0.1123655203</v>
      </c>
      <c r="D47" t="n">
        <v>0.1227128799</v>
      </c>
      <c r="E47" t="n">
        <v>0.1484386434</v>
      </c>
      <c r="F47" t="n">
        <v>0.2134017854</v>
      </c>
      <c r="G47" t="n">
        <v>0.1416110885</v>
      </c>
      <c r="H47" t="n">
        <v>0.1870078705</v>
      </c>
      <c r="I47" t="n">
        <v>0.2312898293</v>
      </c>
      <c r="J47" t="n">
        <v>0.2861305064</v>
      </c>
      <c r="K47" t="n">
        <v>0.3113192933</v>
      </c>
      <c r="L47" t="n">
        <v>0.2594084112</v>
      </c>
      <c r="M47" t="n">
        <v>0.1161436364</v>
      </c>
      <c r="N47" t="n">
        <v>0.1185869402</v>
      </c>
      <c r="O47" t="n">
        <v>0.1383968464</v>
      </c>
      <c r="P47" t="n">
        <v>0.1967588264</v>
      </c>
      <c r="Q47" t="n">
        <v>0.1554201382</v>
      </c>
      <c r="R47" t="n">
        <v>0.1787698352</v>
      </c>
      <c r="S47" t="n">
        <v>0.2482183487</v>
      </c>
      <c r="T47" t="n">
        <v>0.3057060074</v>
      </c>
      <c r="U47" t="n">
        <v>0.2992329926</v>
      </c>
      <c r="V47" t="n">
        <v>0.2445879972</v>
      </c>
      <c r="W47" t="n">
        <v>0.1228750694</v>
      </c>
      <c r="X47" t="n">
        <v>0.1144887684</v>
      </c>
      <c r="Y47" t="n">
        <v>0.1321698028</v>
      </c>
      <c r="Z47" t="n">
        <v>0.1751379057</v>
      </c>
      <c r="AA47" t="n">
        <v>0.1741302807</v>
      </c>
      <c r="AB47" t="n">
        <v>0.1999358753</v>
      </c>
      <c r="AC47" t="n">
        <v>0.2449927412</v>
      </c>
      <c r="AD47" t="n">
        <v>0.3097114375</v>
      </c>
      <c r="AE47" t="n">
        <v>0.2865395474</v>
      </c>
      <c r="AF47" t="n">
        <v>0.225929854</v>
      </c>
      <c r="AG47" t="n">
        <v>0.1319949842</v>
      </c>
      <c r="AH47" t="n">
        <v>0.1109177616</v>
      </c>
      <c r="AI47" t="n">
        <v>0.1259058834</v>
      </c>
      <c r="AJ47" t="n">
        <v>0.159592222</v>
      </c>
      <c r="AK47" t="n">
        <v>0.1904405634</v>
      </c>
      <c r="AL47" t="n">
        <v>0.2328891386</v>
      </c>
      <c r="AM47" t="n">
        <v>0.2562228497</v>
      </c>
      <c r="AN47" t="n">
        <v>0.3146779634</v>
      </c>
      <c r="AO47" t="n">
        <v>0.2745137108</v>
      </c>
      <c r="AP47" t="n">
        <v>0.2215794677</v>
      </c>
    </row>
    <row r="48">
      <c r="B48" t="n">
        <v>595</v>
      </c>
      <c r="C48" t="n">
        <v>0.10696344</v>
      </c>
      <c r="D48" t="n">
        <v>0.1109845281</v>
      </c>
      <c r="E48" t="n">
        <v>0.1371651646</v>
      </c>
      <c r="F48" t="n">
        <v>0.2047304555</v>
      </c>
      <c r="G48" t="n">
        <v>0.1399906959</v>
      </c>
      <c r="H48" t="n">
        <v>0.1966105007</v>
      </c>
      <c r="I48" t="n">
        <v>0.2593626011</v>
      </c>
      <c r="J48" t="n">
        <v>0.315144088</v>
      </c>
      <c r="K48" t="n">
        <v>0.3277143808</v>
      </c>
      <c r="L48" t="n">
        <v>0.2603832848</v>
      </c>
      <c r="M48" t="n">
        <v>0.1120084198</v>
      </c>
      <c r="N48" t="n">
        <v>0.1073045087</v>
      </c>
      <c r="O48" t="n">
        <v>0.1268729529</v>
      </c>
      <c r="P48" t="n">
        <v>0.1881681296</v>
      </c>
      <c r="Q48" t="n">
        <v>0.1554996957</v>
      </c>
      <c r="R48" t="n">
        <v>0.1877605903</v>
      </c>
      <c r="S48" t="n">
        <v>0.2783127715</v>
      </c>
      <c r="T48" t="n">
        <v>0.3273285504</v>
      </c>
      <c r="U48" t="n">
        <v>0.3073758407</v>
      </c>
      <c r="V48" t="n">
        <v>0.2458782125</v>
      </c>
      <c r="W48" t="n">
        <v>0.1194765254</v>
      </c>
      <c r="X48" t="n">
        <v>0.1041093568</v>
      </c>
      <c r="Y48" t="n">
        <v>0.1193637949</v>
      </c>
      <c r="Z48" t="n">
        <v>0.1651037121</v>
      </c>
      <c r="AA48" t="n">
        <v>0.1772356044</v>
      </c>
      <c r="AB48" t="n">
        <v>0.2143248834</v>
      </c>
      <c r="AC48" t="n">
        <v>0.2813836562</v>
      </c>
      <c r="AD48" t="n">
        <v>0.3300395971</v>
      </c>
      <c r="AE48" t="n">
        <v>0.2902410012</v>
      </c>
      <c r="AF48" t="n">
        <v>0.2257565175</v>
      </c>
      <c r="AG48" t="n">
        <v>0.1292559674</v>
      </c>
      <c r="AH48" t="n">
        <v>0.1031507115</v>
      </c>
      <c r="AI48" t="n">
        <v>0.1131912929</v>
      </c>
      <c r="AJ48" t="n">
        <v>0.1490210345</v>
      </c>
      <c r="AK48" t="n">
        <v>0.1977322088</v>
      </c>
      <c r="AL48" t="n">
        <v>0.2576522543</v>
      </c>
      <c r="AM48" t="n">
        <v>0.2980123678</v>
      </c>
      <c r="AN48" t="n">
        <v>0.3350102193</v>
      </c>
      <c r="AO48" t="n">
        <v>0.275254216</v>
      </c>
      <c r="AP48" t="n">
        <v>0.2182926774</v>
      </c>
    </row>
    <row r="49">
      <c r="B49" t="n">
        <v>600</v>
      </c>
      <c r="C49" t="n">
        <v>0.1015442988</v>
      </c>
      <c r="D49" t="n">
        <v>0.1005872797</v>
      </c>
      <c r="E49" t="n">
        <v>0.1259956654</v>
      </c>
      <c r="F49" t="n">
        <v>0.195402384</v>
      </c>
      <c r="G49" t="n">
        <v>0.1381323458</v>
      </c>
      <c r="H49" t="n">
        <v>0.2067219532</v>
      </c>
      <c r="I49" t="n">
        <v>0.2851474475</v>
      </c>
      <c r="J49" t="n">
        <v>0.3386000485</v>
      </c>
      <c r="K49" t="n">
        <v>0.3393786663</v>
      </c>
      <c r="L49" t="n">
        <v>0.2598285428</v>
      </c>
      <c r="M49" t="n">
        <v>0.1081333996</v>
      </c>
      <c r="N49" t="n">
        <v>0.09621224428</v>
      </c>
      <c r="O49" t="n">
        <v>0.1159127322</v>
      </c>
      <c r="P49" t="n">
        <v>0.1782693735</v>
      </c>
      <c r="Q49" t="n">
        <v>0.1550447845</v>
      </c>
      <c r="R49" t="n">
        <v>0.2011877882</v>
      </c>
      <c r="S49" t="n">
        <v>0.3057918111</v>
      </c>
      <c r="T49" t="n">
        <v>0.3429935264</v>
      </c>
      <c r="U49" t="n">
        <v>0.3120789991</v>
      </c>
      <c r="V49" t="n">
        <v>0.2456809414</v>
      </c>
      <c r="W49" t="n">
        <v>0.1162387761</v>
      </c>
      <c r="X49" t="n">
        <v>0.0947600374</v>
      </c>
      <c r="Y49" t="n">
        <v>0.1080287836</v>
      </c>
      <c r="Z49" t="n">
        <v>0.1548178414</v>
      </c>
      <c r="AA49" t="n">
        <v>0.1779193658</v>
      </c>
      <c r="AB49" t="n">
        <v>0.2310514376</v>
      </c>
      <c r="AC49" t="n">
        <v>0.3147177737</v>
      </c>
      <c r="AD49" t="n">
        <v>0.343580323</v>
      </c>
      <c r="AE49" t="n">
        <v>0.2920923858</v>
      </c>
      <c r="AF49" t="n">
        <v>0.2264085023</v>
      </c>
      <c r="AG49" t="n">
        <v>0.1264402054</v>
      </c>
      <c r="AH49" t="n">
        <v>0.09580321349</v>
      </c>
      <c r="AI49" t="n">
        <v>0.1030186711</v>
      </c>
      <c r="AJ49" t="n">
        <v>0.1388540737</v>
      </c>
      <c r="AK49" t="n">
        <v>0.2025431218</v>
      </c>
      <c r="AL49" t="n">
        <v>0.2788234208</v>
      </c>
      <c r="AM49" t="n">
        <v>0.3333537796</v>
      </c>
      <c r="AN49" t="n">
        <v>0.3491939752</v>
      </c>
      <c r="AO49" t="n">
        <v>0.2744059383</v>
      </c>
      <c r="AP49" t="n">
        <v>0.21289135</v>
      </c>
    </row>
    <row r="50">
      <c r="B50" t="n">
        <v>605</v>
      </c>
      <c r="C50" t="n">
        <v>0.09766288603000001</v>
      </c>
      <c r="D50" t="n">
        <v>0.09270114466</v>
      </c>
      <c r="E50" t="n">
        <v>0.1160788671</v>
      </c>
      <c r="F50" t="n">
        <v>0.1851997704</v>
      </c>
      <c r="G50" t="n">
        <v>0.1363391204</v>
      </c>
      <c r="H50" t="n">
        <v>0.216687242</v>
      </c>
      <c r="I50" t="n">
        <v>0.3064251514</v>
      </c>
      <c r="J50" t="n">
        <v>0.3557833895</v>
      </c>
      <c r="K50" t="n">
        <v>0.3448443075</v>
      </c>
      <c r="L50" t="n">
        <v>0.2603574843</v>
      </c>
      <c r="M50" t="n">
        <v>0.1048555485</v>
      </c>
      <c r="N50" t="n">
        <v>0.08883670098</v>
      </c>
      <c r="O50" t="n">
        <v>0.1061139939</v>
      </c>
      <c r="P50" t="n">
        <v>0.1685306358</v>
      </c>
      <c r="Q50" t="n">
        <v>0.1531197596</v>
      </c>
      <c r="R50" t="n">
        <v>0.2188955517</v>
      </c>
      <c r="S50" t="n">
        <v>0.3269715586</v>
      </c>
      <c r="T50" t="n">
        <v>0.3538315021</v>
      </c>
      <c r="U50" t="n">
        <v>0.3156315161</v>
      </c>
      <c r="V50" t="n">
        <v>0.2461679814</v>
      </c>
      <c r="W50" t="n">
        <v>0.1134607352</v>
      </c>
      <c r="X50" t="n">
        <v>0.08778026384</v>
      </c>
      <c r="Y50" t="n">
        <v>0.09924148094</v>
      </c>
      <c r="Z50" t="n">
        <v>0.1451590644</v>
      </c>
      <c r="AA50" t="n">
        <v>0.1775624572</v>
      </c>
      <c r="AB50" t="n">
        <v>0.2511110129</v>
      </c>
      <c r="AC50" t="n">
        <v>0.3411368001</v>
      </c>
      <c r="AD50" t="n">
        <v>0.3526552514</v>
      </c>
      <c r="AE50" t="n">
        <v>0.2940273155</v>
      </c>
      <c r="AF50" t="n">
        <v>0.2272593722</v>
      </c>
      <c r="AG50" t="n">
        <v>0.1241206611</v>
      </c>
      <c r="AH50" t="n">
        <v>0.08952294655</v>
      </c>
      <c r="AI50" t="n">
        <v>0.0945252685</v>
      </c>
      <c r="AJ50" t="n">
        <v>0.1295902689</v>
      </c>
      <c r="AK50" t="n">
        <v>0.2041396623</v>
      </c>
      <c r="AL50" t="n">
        <v>0.2950190433</v>
      </c>
      <c r="AM50" t="n">
        <v>0.360091963</v>
      </c>
      <c r="AN50" t="n">
        <v>0.3563068554</v>
      </c>
      <c r="AO50" t="n">
        <v>0.2750675493</v>
      </c>
      <c r="AP50" t="n">
        <v>0.2081537348</v>
      </c>
    </row>
    <row r="51">
      <c r="B51" t="n">
        <v>610</v>
      </c>
      <c r="C51" t="n">
        <v>0.09396172714999999</v>
      </c>
      <c r="D51" t="n">
        <v>0.08686902058</v>
      </c>
      <c r="E51" t="n">
        <v>0.1078749788</v>
      </c>
      <c r="F51" t="n">
        <v>0.1766046779</v>
      </c>
      <c r="G51" t="n">
        <v>0.1350979049</v>
      </c>
      <c r="H51" t="n">
        <v>0.2240906266</v>
      </c>
      <c r="I51" t="n">
        <v>0.3243241884</v>
      </c>
      <c r="J51" t="n">
        <v>0.3660771056</v>
      </c>
      <c r="K51" t="n">
        <v>0.347523051</v>
      </c>
      <c r="L51" t="n">
        <v>0.2598862129</v>
      </c>
      <c r="M51" t="n">
        <v>0.1023730853</v>
      </c>
      <c r="N51" t="n">
        <v>0.08344091264</v>
      </c>
      <c r="O51" t="n">
        <v>0.09820977061</v>
      </c>
      <c r="P51" t="n">
        <v>0.1604023228</v>
      </c>
      <c r="Q51" t="n">
        <v>0.1514254721</v>
      </c>
      <c r="R51" t="n">
        <v>0.2377639706</v>
      </c>
      <c r="S51" t="n">
        <v>0.3447753301</v>
      </c>
      <c r="T51" t="n">
        <v>0.3594993762</v>
      </c>
      <c r="U51" t="n">
        <v>0.3185329798</v>
      </c>
      <c r="V51" t="n">
        <v>0.2455116099</v>
      </c>
      <c r="W51" t="n">
        <v>0.1112966832</v>
      </c>
      <c r="X51" t="n">
        <v>0.08215695107</v>
      </c>
      <c r="Y51" t="n">
        <v>0.09241924149</v>
      </c>
      <c r="Z51" t="n">
        <v>0.1372570891</v>
      </c>
      <c r="AA51" t="n">
        <v>0.1760601118</v>
      </c>
      <c r="AB51" t="n">
        <v>0.2725934375</v>
      </c>
      <c r="AC51" t="n">
        <v>0.3610978553</v>
      </c>
      <c r="AD51" t="n">
        <v>0.3569935724</v>
      </c>
      <c r="AE51" t="n">
        <v>0.2960789559</v>
      </c>
      <c r="AF51" t="n">
        <v>0.2271143594</v>
      </c>
      <c r="AG51" t="n">
        <v>0.1223978475</v>
      </c>
      <c r="AH51" t="n">
        <v>0.08485980612000001</v>
      </c>
      <c r="AI51" t="n">
        <v>0.08798505291</v>
      </c>
      <c r="AJ51" t="n">
        <v>0.1221098632</v>
      </c>
      <c r="AK51" t="n">
        <v>0.2026939663</v>
      </c>
      <c r="AL51" t="n">
        <v>0.3065807303</v>
      </c>
      <c r="AM51" t="n">
        <v>0.3770951465</v>
      </c>
      <c r="AN51" t="n">
        <v>0.3591761137</v>
      </c>
      <c r="AO51" t="n">
        <v>0.2749809197</v>
      </c>
      <c r="AP51" t="n">
        <v>0.2027847762</v>
      </c>
    </row>
    <row r="52">
      <c r="B52" t="n">
        <v>615</v>
      </c>
      <c r="C52" t="n">
        <v>0.09220327490999999</v>
      </c>
      <c r="D52" t="n">
        <v>0.08257811130000001</v>
      </c>
      <c r="E52" t="n">
        <v>0.1014199269</v>
      </c>
      <c r="F52" t="n">
        <v>0.1694469589</v>
      </c>
      <c r="G52" t="n">
        <v>0.1344787452</v>
      </c>
      <c r="H52" t="n">
        <v>0.2262092672</v>
      </c>
      <c r="I52" t="n">
        <v>0.338201788</v>
      </c>
      <c r="J52" t="n">
        <v>0.3727838196</v>
      </c>
      <c r="K52" t="n">
        <v>0.3464652253</v>
      </c>
      <c r="L52" t="n">
        <v>0.2599941502</v>
      </c>
      <c r="M52" t="n">
        <v>0.1007857878</v>
      </c>
      <c r="N52" t="n">
        <v>0.07933235234</v>
      </c>
      <c r="O52" t="n">
        <v>0.09223962827</v>
      </c>
      <c r="P52" t="n">
        <v>0.1531567295</v>
      </c>
      <c r="Q52" t="n">
        <v>0.1496912109</v>
      </c>
      <c r="R52" t="n">
        <v>0.2541048249</v>
      </c>
      <c r="S52" t="n">
        <v>0.3561231371</v>
      </c>
      <c r="T52" t="n">
        <v>0.3634327117</v>
      </c>
      <c r="U52" t="n">
        <v>0.3199486159</v>
      </c>
      <c r="V52" t="n">
        <v>0.2461954381</v>
      </c>
      <c r="W52" t="n">
        <v>0.1098997657</v>
      </c>
      <c r="X52" t="n">
        <v>0.07824045271000001</v>
      </c>
      <c r="Y52" t="n">
        <v>0.08783514794</v>
      </c>
      <c r="Z52" t="n">
        <v>0.1307065638</v>
      </c>
      <c r="AA52" t="n">
        <v>0.1735480537</v>
      </c>
      <c r="AB52" t="n">
        <v>0.2910618725</v>
      </c>
      <c r="AC52" t="n">
        <v>0.3757928689</v>
      </c>
      <c r="AD52" t="n">
        <v>0.3594508711</v>
      </c>
      <c r="AE52" t="n">
        <v>0.2970754994</v>
      </c>
      <c r="AF52" t="n">
        <v>0.2276285836</v>
      </c>
      <c r="AG52" t="n">
        <v>0.1213165647</v>
      </c>
      <c r="AH52" t="n">
        <v>0.08221319282</v>
      </c>
      <c r="AI52" t="n">
        <v>0.08364023164000001</v>
      </c>
      <c r="AJ52" t="n">
        <v>0.116198999</v>
      </c>
      <c r="AK52" t="n">
        <v>0.1985812641</v>
      </c>
      <c r="AL52" t="n">
        <v>0.3150415527</v>
      </c>
      <c r="AM52" t="n">
        <v>0.3872841248</v>
      </c>
      <c r="AN52" t="n">
        <v>0.3583070177</v>
      </c>
      <c r="AO52" t="n">
        <v>0.2744300134</v>
      </c>
      <c r="AP52" t="n">
        <v>0.1986324637</v>
      </c>
    </row>
    <row r="53">
      <c r="B53" t="n">
        <v>620</v>
      </c>
      <c r="C53" t="n">
        <v>0.09072260004</v>
      </c>
      <c r="D53" t="n">
        <v>0.07946316479</v>
      </c>
      <c r="E53" t="n">
        <v>0.09636707693</v>
      </c>
      <c r="F53" t="n">
        <v>0.1635782341</v>
      </c>
      <c r="G53" t="n">
        <v>0.1348818369</v>
      </c>
      <c r="H53" t="n">
        <v>0.2256928174</v>
      </c>
      <c r="I53" t="n">
        <v>0.3471729253</v>
      </c>
      <c r="J53" t="n">
        <v>0.3782320466</v>
      </c>
      <c r="K53" t="n">
        <v>0.3451619781</v>
      </c>
      <c r="L53" t="n">
        <v>0.2592812349</v>
      </c>
      <c r="M53" t="n">
        <v>0.09977654284</v>
      </c>
      <c r="N53" t="n">
        <v>0.0762403789</v>
      </c>
      <c r="O53" t="n">
        <v>0.08803078487</v>
      </c>
      <c r="P53" t="n">
        <v>0.1476823359</v>
      </c>
      <c r="Q53" t="n">
        <v>0.1490604523</v>
      </c>
      <c r="R53" t="n">
        <v>0.266779448</v>
      </c>
      <c r="S53" t="n">
        <v>0.3649671197</v>
      </c>
      <c r="T53" t="n">
        <v>0.3668979307</v>
      </c>
      <c r="U53" t="n">
        <v>0.3203421665</v>
      </c>
      <c r="V53" t="n">
        <v>0.2454132883</v>
      </c>
      <c r="W53" t="n">
        <v>0.1091955691</v>
      </c>
      <c r="X53" t="n">
        <v>0.07628128581</v>
      </c>
      <c r="Y53" t="n">
        <v>0.08438779335</v>
      </c>
      <c r="Z53" t="n">
        <v>0.1252305715</v>
      </c>
      <c r="AA53" t="n">
        <v>0.1722373544</v>
      </c>
      <c r="AB53" t="n">
        <v>0.3076863011</v>
      </c>
      <c r="AC53" t="n">
        <v>0.386131534</v>
      </c>
      <c r="AD53" t="n">
        <v>0.3618112357</v>
      </c>
      <c r="AE53" t="n">
        <v>0.2976664871</v>
      </c>
      <c r="AF53" t="n">
        <v>0.2280562038</v>
      </c>
      <c r="AG53" t="n">
        <v>0.1209246797</v>
      </c>
      <c r="AH53" t="n">
        <v>0.08047647544</v>
      </c>
      <c r="AI53" t="n">
        <v>0.08029693179</v>
      </c>
      <c r="AJ53" t="n">
        <v>0.1109589532</v>
      </c>
      <c r="AK53" t="n">
        <v>0.1936063911</v>
      </c>
      <c r="AL53" t="n">
        <v>0.3210013966</v>
      </c>
      <c r="AM53" t="n">
        <v>0.3946354501</v>
      </c>
      <c r="AN53" t="n">
        <v>0.3577863279</v>
      </c>
      <c r="AO53" t="n">
        <v>0.2738863294</v>
      </c>
      <c r="AP53" t="n">
        <v>0.1952289959</v>
      </c>
    </row>
    <row r="54">
      <c r="B54" t="n">
        <v>625</v>
      </c>
      <c r="C54" t="n">
        <v>0.08998730442</v>
      </c>
      <c r="D54" t="n">
        <v>0.07720311747</v>
      </c>
      <c r="E54" t="n">
        <v>0.09258158039</v>
      </c>
      <c r="F54" t="n">
        <v>0.1589049319</v>
      </c>
      <c r="G54" t="n">
        <v>0.1367699858</v>
      </c>
      <c r="H54" t="n">
        <v>0.2255662596</v>
      </c>
      <c r="I54" t="n">
        <v>0.3536568144</v>
      </c>
      <c r="J54" t="n">
        <v>0.3793881055</v>
      </c>
      <c r="K54" t="n">
        <v>0.3438200678</v>
      </c>
      <c r="L54" t="n">
        <v>0.2592425157</v>
      </c>
      <c r="M54" t="n">
        <v>0.09965224207999999</v>
      </c>
      <c r="N54" t="n">
        <v>0.07379065671</v>
      </c>
      <c r="O54" t="n">
        <v>0.0840513487</v>
      </c>
      <c r="P54" t="n">
        <v>0.1433782824</v>
      </c>
      <c r="Q54" t="n">
        <v>0.1502121246</v>
      </c>
      <c r="R54" t="n">
        <v>0.2751341991</v>
      </c>
      <c r="S54" t="n">
        <v>0.3710803761</v>
      </c>
      <c r="T54" t="n">
        <v>0.3668494514</v>
      </c>
      <c r="U54" t="n">
        <v>0.3213664839</v>
      </c>
      <c r="V54" t="n">
        <v>0.245741105</v>
      </c>
      <c r="W54" t="n">
        <v>0.109024561</v>
      </c>
      <c r="X54" t="n">
        <v>0.07366884881999999</v>
      </c>
      <c r="Y54" t="n">
        <v>0.08114428216</v>
      </c>
      <c r="Z54" t="n">
        <v>0.1213912777</v>
      </c>
      <c r="AA54" t="n">
        <v>0.1715398016</v>
      </c>
      <c r="AB54" t="n">
        <v>0.3205761509</v>
      </c>
      <c r="AC54" t="n">
        <v>0.3926537772</v>
      </c>
      <c r="AD54" t="n">
        <v>0.3613520104</v>
      </c>
      <c r="AE54" t="n">
        <v>0.2987477063</v>
      </c>
      <c r="AF54" t="n">
        <v>0.2282810433</v>
      </c>
      <c r="AG54" t="n">
        <v>0.1211846434</v>
      </c>
      <c r="AH54" t="n">
        <v>0.07855227785</v>
      </c>
      <c r="AI54" t="n">
        <v>0.07858957375</v>
      </c>
      <c r="AJ54" t="n">
        <v>0.1075299632</v>
      </c>
      <c r="AK54" t="n">
        <v>0.1911304033</v>
      </c>
      <c r="AL54" t="n">
        <v>0.3243521682</v>
      </c>
      <c r="AM54" t="n">
        <v>0.3975152137</v>
      </c>
      <c r="AN54" t="n">
        <v>0.3558501956</v>
      </c>
      <c r="AO54" t="n">
        <v>0.2734640896</v>
      </c>
      <c r="AP54" t="n">
        <v>0.1918905039</v>
      </c>
    </row>
    <row r="55">
      <c r="B55" t="n">
        <v>630</v>
      </c>
      <c r="C55" t="n">
        <v>0.08864307372999999</v>
      </c>
      <c r="D55" t="n">
        <v>0.07582506579000001</v>
      </c>
      <c r="E55" t="n">
        <v>0.08950412503999999</v>
      </c>
      <c r="F55" t="n">
        <v>0.155699038</v>
      </c>
      <c r="G55" t="n">
        <v>0.1399223016</v>
      </c>
      <c r="H55" t="n">
        <v>0.2287270159</v>
      </c>
      <c r="I55" t="n">
        <v>0.3595851535</v>
      </c>
      <c r="J55" t="n">
        <v>0.3808445563</v>
      </c>
      <c r="K55" t="n">
        <v>0.3425568746</v>
      </c>
      <c r="L55" t="n">
        <v>0.2586252935</v>
      </c>
      <c r="M55" t="n">
        <v>0.09929539721</v>
      </c>
      <c r="N55" t="n">
        <v>0.07304403197000001</v>
      </c>
      <c r="O55" t="n">
        <v>0.08193069777</v>
      </c>
      <c r="P55" t="n">
        <v>0.1399807533</v>
      </c>
      <c r="Q55" t="n">
        <v>0.1525594576</v>
      </c>
      <c r="R55" t="n">
        <v>0.2847586338</v>
      </c>
      <c r="S55" t="n">
        <v>0.3761926942</v>
      </c>
      <c r="T55" t="n">
        <v>0.3671097176</v>
      </c>
      <c r="U55" t="n">
        <v>0.3223110333</v>
      </c>
      <c r="V55" t="n">
        <v>0.2450877846</v>
      </c>
      <c r="W55" t="n">
        <v>0.1086844595</v>
      </c>
      <c r="X55" t="n">
        <v>0.07294249896</v>
      </c>
      <c r="Y55" t="n">
        <v>0.07993411432</v>
      </c>
      <c r="Z55" t="n">
        <v>0.1184129674</v>
      </c>
      <c r="AA55" t="n">
        <v>0.1740876196</v>
      </c>
      <c r="AB55" t="n">
        <v>0.3295127606</v>
      </c>
      <c r="AC55" t="n">
        <v>0.3985353566</v>
      </c>
      <c r="AD55" t="n">
        <v>0.3609292786</v>
      </c>
      <c r="AE55" t="n">
        <v>0.3004240022</v>
      </c>
      <c r="AF55" t="n">
        <v>0.228829887</v>
      </c>
      <c r="AG55" t="n">
        <v>0.1217553585</v>
      </c>
      <c r="AH55" t="n">
        <v>0.07770042336000001</v>
      </c>
      <c r="AI55" t="n">
        <v>0.07676667023</v>
      </c>
      <c r="AJ55" t="n">
        <v>0.1048974898</v>
      </c>
      <c r="AK55" t="n">
        <v>0.1925073662</v>
      </c>
      <c r="AL55" t="n">
        <v>0.3280923958</v>
      </c>
      <c r="AM55" t="n">
        <v>0.4002501023</v>
      </c>
      <c r="AN55" t="n">
        <v>0.3541038003</v>
      </c>
      <c r="AO55" t="n">
        <v>0.2730340906</v>
      </c>
      <c r="AP55" t="n">
        <v>0.1893121543</v>
      </c>
    </row>
    <row r="56">
      <c r="B56" t="n">
        <v>635</v>
      </c>
      <c r="C56" t="n">
        <v>0.08820633838</v>
      </c>
      <c r="D56" t="n">
        <v>0.07404340329</v>
      </c>
      <c r="E56" t="n">
        <v>0.08588744593</v>
      </c>
      <c r="F56" t="n">
        <v>0.1519318712</v>
      </c>
      <c r="G56" t="n">
        <v>0.1430690517</v>
      </c>
      <c r="H56" t="n">
        <v>0.2362463597</v>
      </c>
      <c r="I56" t="n">
        <v>0.3629276559</v>
      </c>
      <c r="J56" t="n">
        <v>0.3810136323</v>
      </c>
      <c r="K56" t="n">
        <v>0.3404910068</v>
      </c>
      <c r="L56" t="n">
        <v>0.2585480774</v>
      </c>
      <c r="M56" t="n">
        <v>0.09877177397</v>
      </c>
      <c r="N56" t="n">
        <v>0.07121732814999999</v>
      </c>
      <c r="O56" t="n">
        <v>0.07907497373</v>
      </c>
      <c r="P56" t="n">
        <v>0.1365314882</v>
      </c>
      <c r="Q56" t="n">
        <v>0.1561630355</v>
      </c>
      <c r="R56" t="n">
        <v>0.2940148688</v>
      </c>
      <c r="S56" t="n">
        <v>0.3797279979</v>
      </c>
      <c r="T56" t="n">
        <v>0.3668973787</v>
      </c>
      <c r="U56" t="n">
        <v>0.3225499823</v>
      </c>
      <c r="V56" t="n">
        <v>0.2450350638</v>
      </c>
      <c r="W56" t="n">
        <v>0.1087260976</v>
      </c>
      <c r="X56" t="n">
        <v>0.07139763428</v>
      </c>
      <c r="Y56" t="n">
        <v>0.07760178617000001</v>
      </c>
      <c r="Z56" t="n">
        <v>0.1154774352</v>
      </c>
      <c r="AA56" t="n">
        <v>0.1779373726</v>
      </c>
      <c r="AB56" t="n">
        <v>0.3345290548</v>
      </c>
      <c r="AC56" t="n">
        <v>0.4010867681</v>
      </c>
      <c r="AD56" t="n">
        <v>0.3605012336</v>
      </c>
      <c r="AE56" t="n">
        <v>0.3008001774</v>
      </c>
      <c r="AF56" t="n">
        <v>0.2282763374</v>
      </c>
      <c r="AG56" t="n">
        <v>0.1222518286</v>
      </c>
      <c r="AH56" t="n">
        <v>0.07662048115</v>
      </c>
      <c r="AI56" t="n">
        <v>0.07506847786</v>
      </c>
      <c r="AJ56" t="n">
        <v>0.1023407795</v>
      </c>
      <c r="AK56" t="n">
        <v>0.1979091895</v>
      </c>
      <c r="AL56" t="n">
        <v>0.3294895339</v>
      </c>
      <c r="AM56" t="n">
        <v>0.4007171363</v>
      </c>
      <c r="AN56" t="n">
        <v>0.3518654132</v>
      </c>
      <c r="AO56" t="n">
        <v>0.2729546612</v>
      </c>
      <c r="AP56" t="n">
        <v>0.1865158742</v>
      </c>
    </row>
    <row r="57">
      <c r="B57" t="n">
        <v>640</v>
      </c>
      <c r="C57" t="n">
        <v>0.08756111344</v>
      </c>
      <c r="D57" t="n">
        <v>0.07285565335999999</v>
      </c>
      <c r="E57" t="n">
        <v>0.08375606888000001</v>
      </c>
      <c r="F57" t="n">
        <v>0.1491308769</v>
      </c>
      <c r="G57" t="n">
        <v>0.1471826537</v>
      </c>
      <c r="H57" t="n">
        <v>0.2469124957</v>
      </c>
      <c r="I57" t="n">
        <v>0.3650570415</v>
      </c>
      <c r="J57" t="n">
        <v>0.3819046862</v>
      </c>
      <c r="K57" t="n">
        <v>0.337622934</v>
      </c>
      <c r="L57" t="n">
        <v>0.2589098433</v>
      </c>
      <c r="M57" t="n">
        <v>0.09929649269</v>
      </c>
      <c r="N57" t="n">
        <v>0.07037286326</v>
      </c>
      <c r="O57" t="n">
        <v>0.07762373165</v>
      </c>
      <c r="P57" t="n">
        <v>0.1335764495</v>
      </c>
      <c r="Q57" t="n">
        <v>0.1608147931</v>
      </c>
      <c r="R57" t="n">
        <v>0.3041297792</v>
      </c>
      <c r="S57" t="n">
        <v>0.3825060058</v>
      </c>
      <c r="T57" t="n">
        <v>0.3680236269</v>
      </c>
      <c r="U57" t="n">
        <v>0.3224262545</v>
      </c>
      <c r="V57" t="n">
        <v>0.2454482945</v>
      </c>
      <c r="W57" t="n">
        <v>0.1091248696</v>
      </c>
      <c r="X57" t="n">
        <v>0.07182384383</v>
      </c>
      <c r="Y57" t="n">
        <v>0.07600574596</v>
      </c>
      <c r="Z57" t="n">
        <v>0.1127889887</v>
      </c>
      <c r="AA57" t="n">
        <v>0.1843974243</v>
      </c>
      <c r="AB57" t="n">
        <v>0.3392610937</v>
      </c>
      <c r="AC57" t="n">
        <v>0.4039248445</v>
      </c>
      <c r="AD57" t="n">
        <v>0.3615268121</v>
      </c>
      <c r="AE57" t="n">
        <v>0.3012394015</v>
      </c>
      <c r="AF57" t="n">
        <v>0.2294425979</v>
      </c>
      <c r="AG57" t="n">
        <v>0.123282203</v>
      </c>
      <c r="AH57" t="n">
        <v>0.07694687742</v>
      </c>
      <c r="AI57" t="n">
        <v>0.07399048693</v>
      </c>
      <c r="AJ57" t="n">
        <v>0.09992395065</v>
      </c>
      <c r="AK57" t="n">
        <v>0.2064598476</v>
      </c>
      <c r="AL57" t="n">
        <v>0.3301742612</v>
      </c>
      <c r="AM57" t="n">
        <v>0.401267801</v>
      </c>
      <c r="AN57" t="n">
        <v>0.3498113431</v>
      </c>
      <c r="AO57" t="n">
        <v>0.2732551429</v>
      </c>
      <c r="AP57" t="n">
        <v>0.1842592548</v>
      </c>
    </row>
    <row r="58">
      <c r="B58" t="n">
        <v>645</v>
      </c>
      <c r="C58" t="n">
        <v>0.08768621113</v>
      </c>
      <c r="D58" t="n">
        <v>0.07203912399</v>
      </c>
      <c r="E58" t="n">
        <v>0.08100976265</v>
      </c>
      <c r="F58" t="n">
        <v>0.146212284</v>
      </c>
      <c r="G58" t="n">
        <v>0.1514800492</v>
      </c>
      <c r="H58" t="n">
        <v>0.2612221473</v>
      </c>
      <c r="I58" t="n">
        <v>0.3665152468</v>
      </c>
      <c r="J58" t="n">
        <v>0.3813905875</v>
      </c>
      <c r="K58" t="n">
        <v>0.3367503868</v>
      </c>
      <c r="L58" t="n">
        <v>0.2580702406</v>
      </c>
      <c r="M58" t="n">
        <v>0.09991701833</v>
      </c>
      <c r="N58" t="n">
        <v>0.06911815758000001</v>
      </c>
      <c r="O58" t="n">
        <v>0.07542297368000001</v>
      </c>
      <c r="P58" t="n">
        <v>0.1304730743</v>
      </c>
      <c r="Q58" t="n">
        <v>0.1663676599</v>
      </c>
      <c r="R58" t="n">
        <v>0.3146805308</v>
      </c>
      <c r="S58" t="n">
        <v>0.3843056047</v>
      </c>
      <c r="T58" t="n">
        <v>0.3671513141</v>
      </c>
      <c r="U58" t="n">
        <v>0.3232675877</v>
      </c>
      <c r="V58" t="n">
        <v>0.2445751031</v>
      </c>
      <c r="W58" t="n">
        <v>0.1097746658</v>
      </c>
      <c r="X58" t="n">
        <v>0.07090256648</v>
      </c>
      <c r="Y58" t="n">
        <v>0.0744575428</v>
      </c>
      <c r="Z58" t="n">
        <v>0.1100564801</v>
      </c>
      <c r="AA58" t="n">
        <v>0.1919569326</v>
      </c>
      <c r="AB58" t="n">
        <v>0.3416644619</v>
      </c>
      <c r="AC58" t="n">
        <v>0.4056371029</v>
      </c>
      <c r="AD58" t="n">
        <v>0.3606141614</v>
      </c>
      <c r="AE58" t="n">
        <v>0.3026204319</v>
      </c>
      <c r="AF58" t="n">
        <v>0.2289306112</v>
      </c>
      <c r="AG58" t="n">
        <v>0.1246333704</v>
      </c>
      <c r="AH58" t="n">
        <v>0.07694680649000001</v>
      </c>
      <c r="AI58" t="n">
        <v>0.07246334966</v>
      </c>
      <c r="AJ58" t="n">
        <v>0.09750530927000001</v>
      </c>
      <c r="AK58" t="n">
        <v>0.2180173233</v>
      </c>
      <c r="AL58" t="n">
        <v>0.3308312368</v>
      </c>
      <c r="AM58" t="n">
        <v>0.4013938265</v>
      </c>
      <c r="AN58" t="n">
        <v>0.348386375</v>
      </c>
      <c r="AO58" t="n">
        <v>0.2725969306</v>
      </c>
      <c r="AP58" t="n">
        <v>0.1817273723</v>
      </c>
    </row>
    <row r="59">
      <c r="B59" t="n">
        <v>650</v>
      </c>
      <c r="C59" t="n">
        <v>0.08821355414</v>
      </c>
      <c r="D59" t="n">
        <v>0.07061577455</v>
      </c>
      <c r="E59" t="n">
        <v>0.07826754716999999</v>
      </c>
      <c r="F59" t="n">
        <v>0.1429677172</v>
      </c>
      <c r="G59" t="n">
        <v>0.1554550294</v>
      </c>
      <c r="H59" t="n">
        <v>0.2766248768</v>
      </c>
      <c r="I59" t="n">
        <v>0.3673506662</v>
      </c>
      <c r="J59" t="n">
        <v>0.3816353616</v>
      </c>
      <c r="K59" t="n">
        <v>0.3338855133</v>
      </c>
      <c r="L59" t="n">
        <v>0.2578326299</v>
      </c>
      <c r="M59" t="n">
        <v>0.1006465705</v>
      </c>
      <c r="N59" t="n">
        <v>0.06805480391</v>
      </c>
      <c r="O59" t="n">
        <v>0.07387014407</v>
      </c>
      <c r="P59" t="n">
        <v>0.1277782249</v>
      </c>
      <c r="Q59" t="n">
        <v>0.1720882567</v>
      </c>
      <c r="R59" t="n">
        <v>0.3251770667</v>
      </c>
      <c r="S59" t="n">
        <v>0.3841793651</v>
      </c>
      <c r="T59" t="n">
        <v>0.3673735826</v>
      </c>
      <c r="U59" t="n">
        <v>0.3237904128</v>
      </c>
      <c r="V59" t="n">
        <v>0.2445945566</v>
      </c>
      <c r="W59" t="n">
        <v>0.1106753586</v>
      </c>
      <c r="X59" t="n">
        <v>0.07054755627000001</v>
      </c>
      <c r="Y59" t="n">
        <v>0.07388136298</v>
      </c>
      <c r="Z59" t="n">
        <v>0.1077687799</v>
      </c>
      <c r="AA59" t="n">
        <v>0.2000090066</v>
      </c>
      <c r="AB59" t="n">
        <v>0.3446069797</v>
      </c>
      <c r="AC59" t="n">
        <v>0.4052147925</v>
      </c>
      <c r="AD59" t="n">
        <v>0.3612462151</v>
      </c>
      <c r="AE59" t="n">
        <v>0.3032365469</v>
      </c>
      <c r="AF59" t="n">
        <v>0.2286745865</v>
      </c>
      <c r="AG59" t="n">
        <v>0.1259514742</v>
      </c>
      <c r="AH59" t="n">
        <v>0.07646802110000001</v>
      </c>
      <c r="AI59" t="n">
        <v>0.07149829044</v>
      </c>
      <c r="AJ59" t="n">
        <v>0.09551906029</v>
      </c>
      <c r="AK59" t="n">
        <v>0.231696889</v>
      </c>
      <c r="AL59" t="n">
        <v>0.3307282608</v>
      </c>
      <c r="AM59" t="n">
        <v>0.4014929481</v>
      </c>
      <c r="AN59" t="n">
        <v>0.3459754479</v>
      </c>
      <c r="AO59" t="n">
        <v>0.272096956</v>
      </c>
      <c r="AP59" t="n">
        <v>0.1791844515</v>
      </c>
    </row>
    <row r="60">
      <c r="B60" t="n">
        <v>655</v>
      </c>
      <c r="C60" t="n">
        <v>0.08914824095</v>
      </c>
      <c r="D60" t="n">
        <v>0.07113371403</v>
      </c>
      <c r="E60" t="n">
        <v>0.07692296047</v>
      </c>
      <c r="F60" t="n">
        <v>0.1406285013</v>
      </c>
      <c r="G60" t="n">
        <v>0.158608693</v>
      </c>
      <c r="H60" t="n">
        <v>0.2942410337</v>
      </c>
      <c r="I60" t="n">
        <v>0.3689296161</v>
      </c>
      <c r="J60" t="n">
        <v>0.3821710517</v>
      </c>
      <c r="K60" t="n">
        <v>0.3334789072</v>
      </c>
      <c r="L60" t="n">
        <v>0.2579035014</v>
      </c>
      <c r="M60" t="n">
        <v>0.1020452499</v>
      </c>
      <c r="N60" t="n">
        <v>0.06788207981</v>
      </c>
      <c r="O60" t="n">
        <v>0.07252306605</v>
      </c>
      <c r="P60" t="n">
        <v>0.1257256224</v>
      </c>
      <c r="Q60" t="n">
        <v>0.1774509021</v>
      </c>
      <c r="R60" t="n">
        <v>0.3350727415</v>
      </c>
      <c r="S60" t="n">
        <v>0.3871436364</v>
      </c>
      <c r="T60" t="n">
        <v>0.3672951951</v>
      </c>
      <c r="U60" t="n">
        <v>0.3234724466</v>
      </c>
      <c r="V60" t="n">
        <v>0.2446396696</v>
      </c>
      <c r="W60" t="n">
        <v>0.1122467962</v>
      </c>
      <c r="X60" t="n">
        <v>0.07190650023</v>
      </c>
      <c r="Y60" t="n">
        <v>0.07281306781999999</v>
      </c>
      <c r="Z60" t="n">
        <v>0.1060619628</v>
      </c>
      <c r="AA60" t="n">
        <v>0.2087195232</v>
      </c>
      <c r="AB60" t="n">
        <v>0.3447252983</v>
      </c>
      <c r="AC60" t="n">
        <v>0.4070686898</v>
      </c>
      <c r="AD60" t="n">
        <v>0.3600877046</v>
      </c>
      <c r="AE60" t="n">
        <v>0.3034664005</v>
      </c>
      <c r="AF60" t="n">
        <v>0.2299703287</v>
      </c>
      <c r="AG60" t="n">
        <v>0.1277980757</v>
      </c>
      <c r="AH60" t="n">
        <v>0.07843862936</v>
      </c>
      <c r="AI60" t="n">
        <v>0.07171875915000001</v>
      </c>
      <c r="AJ60" t="n">
        <v>0.09407779233999999</v>
      </c>
      <c r="AK60" t="n">
        <v>0.2473389615</v>
      </c>
      <c r="AL60" t="n">
        <v>0.3315445842</v>
      </c>
      <c r="AM60" t="n">
        <v>0.4019093246</v>
      </c>
      <c r="AN60" t="n">
        <v>0.3449808456</v>
      </c>
      <c r="AO60" t="n">
        <v>0.2722084707</v>
      </c>
      <c r="AP60" t="n">
        <v>0.1776902652</v>
      </c>
    </row>
    <row r="61">
      <c r="B61" t="n">
        <v>660</v>
      </c>
      <c r="C61" t="n">
        <v>0.09012552145</v>
      </c>
      <c r="D61" t="n">
        <v>0.07147483502</v>
      </c>
      <c r="E61" t="n">
        <v>0.07554677516</v>
      </c>
      <c r="F61" t="n">
        <v>0.1389535555</v>
      </c>
      <c r="G61" t="n">
        <v>0.1610468396</v>
      </c>
      <c r="H61" t="n">
        <v>0.3119289526</v>
      </c>
      <c r="I61" t="n">
        <v>0.3695446111</v>
      </c>
      <c r="J61" t="n">
        <v>0.3820729927</v>
      </c>
      <c r="K61" t="n">
        <v>0.3321830572</v>
      </c>
      <c r="L61" t="n">
        <v>0.257108338</v>
      </c>
      <c r="M61" t="n">
        <v>0.1035124906</v>
      </c>
      <c r="N61" t="n">
        <v>0.06882843757</v>
      </c>
      <c r="O61" t="n">
        <v>0.07130481448000001</v>
      </c>
      <c r="P61" t="n">
        <v>0.1238921424</v>
      </c>
      <c r="Q61" t="n">
        <v>0.1818676687</v>
      </c>
      <c r="R61" t="n">
        <v>0.3446105377</v>
      </c>
      <c r="S61" t="n">
        <v>0.3888775008</v>
      </c>
      <c r="T61" t="n">
        <v>0.3675740943</v>
      </c>
      <c r="U61" t="n">
        <v>0.3242984038</v>
      </c>
      <c r="V61" t="n">
        <v>0.2439535853</v>
      </c>
      <c r="W61" t="n">
        <v>0.1138983469</v>
      </c>
      <c r="X61" t="n">
        <v>0.07243315507</v>
      </c>
      <c r="Y61" t="n">
        <v>0.07272408094</v>
      </c>
      <c r="Z61" t="n">
        <v>0.1046636732</v>
      </c>
      <c r="AA61" t="n">
        <v>0.2166078789</v>
      </c>
      <c r="AB61" t="n">
        <v>0.3459428302</v>
      </c>
      <c r="AC61" t="n">
        <v>0.4064953087</v>
      </c>
      <c r="AD61" t="n">
        <v>0.3601171306</v>
      </c>
      <c r="AE61" t="n">
        <v>0.3048607877</v>
      </c>
      <c r="AF61" t="n">
        <v>0.2300191747</v>
      </c>
      <c r="AG61" t="n">
        <v>0.1295115928</v>
      </c>
      <c r="AH61" t="n">
        <v>0.07895532652999999</v>
      </c>
      <c r="AI61" t="n">
        <v>0.07217790886</v>
      </c>
      <c r="AJ61" t="n">
        <v>0.09296852376</v>
      </c>
      <c r="AK61" t="n">
        <v>0.2635942341</v>
      </c>
      <c r="AL61" t="n">
        <v>0.3314442489</v>
      </c>
      <c r="AM61" t="n">
        <v>0.4003357803</v>
      </c>
      <c r="AN61" t="n">
        <v>0.3435565531</v>
      </c>
      <c r="AO61" t="n">
        <v>0.2714175237</v>
      </c>
      <c r="AP61" t="n">
        <v>0.1762547561</v>
      </c>
    </row>
    <row r="62">
      <c r="B62" t="n">
        <v>665</v>
      </c>
      <c r="C62" t="n">
        <v>0.09113641699</v>
      </c>
      <c r="D62" t="n">
        <v>0.07330909574</v>
      </c>
      <c r="E62" t="n">
        <v>0.07428564453</v>
      </c>
      <c r="F62" t="n">
        <v>0.1383972691</v>
      </c>
      <c r="G62" t="n">
        <v>0.1618732821</v>
      </c>
      <c r="H62" t="n">
        <v>0.3243094939</v>
      </c>
      <c r="I62" t="n">
        <v>0.3694904188</v>
      </c>
      <c r="J62" t="n">
        <v>0.3822841927</v>
      </c>
      <c r="K62" t="n">
        <v>0.3311806086</v>
      </c>
      <c r="L62" t="n">
        <v>0.2572167794</v>
      </c>
      <c r="M62" t="n">
        <v>0.1045430518</v>
      </c>
      <c r="N62" t="n">
        <v>0.07008788807999999</v>
      </c>
      <c r="O62" t="n">
        <v>0.07057848318</v>
      </c>
      <c r="P62" t="n">
        <v>0.122643436</v>
      </c>
      <c r="Q62" t="n">
        <v>0.183637067</v>
      </c>
      <c r="R62" t="n">
        <v>0.3507536075</v>
      </c>
      <c r="S62" t="n">
        <v>0.390040603</v>
      </c>
      <c r="T62" t="n">
        <v>0.3675633748</v>
      </c>
      <c r="U62" t="n">
        <v>0.3234776501</v>
      </c>
      <c r="V62" t="n">
        <v>0.2438979626</v>
      </c>
      <c r="W62" t="n">
        <v>0.1147544945</v>
      </c>
      <c r="X62" t="n">
        <v>0.07414955819999999</v>
      </c>
      <c r="Y62" t="n">
        <v>0.07365263284</v>
      </c>
      <c r="Z62" t="n">
        <v>0.1036471763</v>
      </c>
      <c r="AA62" t="n">
        <v>0.2216861963</v>
      </c>
      <c r="AB62" t="n">
        <v>0.3461445805</v>
      </c>
      <c r="AC62" t="n">
        <v>0.4060685928</v>
      </c>
      <c r="AD62" t="n">
        <v>0.360213708</v>
      </c>
      <c r="AE62" t="n">
        <v>0.3055548956</v>
      </c>
      <c r="AF62" t="n">
        <v>0.230886495</v>
      </c>
      <c r="AG62" t="n">
        <v>0.1302317935</v>
      </c>
      <c r="AH62" t="n">
        <v>0.08017315748999999</v>
      </c>
      <c r="AI62" t="n">
        <v>0.07365623215</v>
      </c>
      <c r="AJ62" t="n">
        <v>0.09211151987000001</v>
      </c>
      <c r="AK62" t="n">
        <v>0.277631357</v>
      </c>
      <c r="AL62" t="n">
        <v>0.3305345816</v>
      </c>
      <c r="AM62" t="n">
        <v>0.4008767142</v>
      </c>
      <c r="AN62" t="n">
        <v>0.3433288666</v>
      </c>
      <c r="AO62" t="n">
        <v>0.2717616273</v>
      </c>
      <c r="AP62" t="n">
        <v>0.1755939976</v>
      </c>
    </row>
    <row r="63">
      <c r="B63" t="n">
        <v>670</v>
      </c>
      <c r="C63" t="n">
        <v>0.09167975371000001</v>
      </c>
      <c r="D63" t="n">
        <v>0.07447604664</v>
      </c>
      <c r="E63" t="n">
        <v>0.07345376641</v>
      </c>
      <c r="F63" t="n">
        <v>0.1383218833</v>
      </c>
      <c r="G63" t="n">
        <v>0.160281173</v>
      </c>
      <c r="H63" t="n">
        <v>0.3360715382</v>
      </c>
      <c r="I63" t="n">
        <v>0.3697259918</v>
      </c>
      <c r="J63" t="n">
        <v>0.3825002552</v>
      </c>
      <c r="K63" t="n">
        <v>0.332820652</v>
      </c>
      <c r="L63" t="n">
        <v>0.2560888687</v>
      </c>
      <c r="M63" t="n">
        <v>0.1051261742</v>
      </c>
      <c r="N63" t="n">
        <v>0.0717100219</v>
      </c>
      <c r="O63" t="n">
        <v>0.07002574961999999</v>
      </c>
      <c r="P63" t="n">
        <v>0.1220231546</v>
      </c>
      <c r="Q63" t="n">
        <v>0.1839867642</v>
      </c>
      <c r="R63" t="n">
        <v>0.3546452964</v>
      </c>
      <c r="S63" t="n">
        <v>0.3930263153</v>
      </c>
      <c r="T63" t="n">
        <v>0.3677274798</v>
      </c>
      <c r="U63" t="n">
        <v>0.3242405681</v>
      </c>
      <c r="V63" t="n">
        <v>0.2432002547</v>
      </c>
      <c r="W63" t="n">
        <v>0.1147553205</v>
      </c>
      <c r="X63" t="n">
        <v>0.07490598499999999</v>
      </c>
      <c r="Y63" t="n">
        <v>0.07496374448</v>
      </c>
      <c r="Z63" t="n">
        <v>0.1030304498</v>
      </c>
      <c r="AA63" t="n">
        <v>0.2244595918</v>
      </c>
      <c r="AB63" t="n">
        <v>0.3450411549</v>
      </c>
      <c r="AC63" t="n">
        <v>0.4066637967</v>
      </c>
      <c r="AD63" t="n">
        <v>0.3598469348</v>
      </c>
      <c r="AE63" t="n">
        <v>0.3052013669</v>
      </c>
      <c r="AF63" t="n">
        <v>0.2309848677</v>
      </c>
      <c r="AG63" t="n">
        <v>0.1296455635</v>
      </c>
      <c r="AH63" t="n">
        <v>0.08134438787000001</v>
      </c>
      <c r="AI63" t="n">
        <v>0.07591905312</v>
      </c>
      <c r="AJ63" t="n">
        <v>0.09151873354999999</v>
      </c>
      <c r="AK63" t="n">
        <v>0.2902500924</v>
      </c>
      <c r="AL63" t="n">
        <v>0.3304964407</v>
      </c>
      <c r="AM63" t="n">
        <v>0.4005615684</v>
      </c>
      <c r="AN63" t="n">
        <v>0.3440386911</v>
      </c>
      <c r="AO63" t="n">
        <v>0.2701620157</v>
      </c>
      <c r="AP63" t="n">
        <v>0.1762261481</v>
      </c>
    </row>
    <row r="64">
      <c r="B64" t="n">
        <v>675</v>
      </c>
      <c r="C64" t="n">
        <v>0.09136783817999999</v>
      </c>
      <c r="D64" t="n">
        <v>0.07731506002000001</v>
      </c>
      <c r="E64" t="n">
        <v>0.07265424215000001</v>
      </c>
      <c r="F64" t="n">
        <v>0.1390257763</v>
      </c>
      <c r="G64" t="n">
        <v>0.1570709259</v>
      </c>
      <c r="H64" t="n">
        <v>0.3459380619</v>
      </c>
      <c r="I64" t="n">
        <v>0.3699671322</v>
      </c>
      <c r="J64" t="n">
        <v>0.3813623236</v>
      </c>
      <c r="K64" t="n">
        <v>0.3335437972</v>
      </c>
      <c r="L64" t="n">
        <v>0.2560370574</v>
      </c>
      <c r="M64" t="n">
        <v>0.1043955436</v>
      </c>
      <c r="N64" t="n">
        <v>0.07347253167999999</v>
      </c>
      <c r="O64" t="n">
        <v>0.06987039197</v>
      </c>
      <c r="P64" t="n">
        <v>0.1226092657</v>
      </c>
      <c r="Q64" t="n">
        <v>0.1807662825</v>
      </c>
      <c r="R64" t="n">
        <v>0.3600047938</v>
      </c>
      <c r="S64" t="n">
        <v>0.3928343553</v>
      </c>
      <c r="T64" t="n">
        <v>0.3663282945</v>
      </c>
      <c r="U64" t="n">
        <v>0.3239157456</v>
      </c>
      <c r="V64" t="n">
        <v>0.243110764</v>
      </c>
      <c r="W64" t="n">
        <v>0.1140206775</v>
      </c>
      <c r="X64" t="n">
        <v>0.07600806438</v>
      </c>
      <c r="Y64" t="n">
        <v>0.07608345375</v>
      </c>
      <c r="Z64" t="n">
        <v>0.1032819352</v>
      </c>
      <c r="AA64" t="n">
        <v>0.2236597766</v>
      </c>
      <c r="AB64" t="n">
        <v>0.3441303889</v>
      </c>
      <c r="AC64" t="n">
        <v>0.4063230872</v>
      </c>
      <c r="AD64" t="n">
        <v>0.3585168835</v>
      </c>
      <c r="AE64" t="n">
        <v>0.3067225633</v>
      </c>
      <c r="AF64" t="n">
        <v>0.2314064308</v>
      </c>
      <c r="AG64" t="n">
        <v>0.1288877641</v>
      </c>
      <c r="AH64" t="n">
        <v>0.08176925408999999</v>
      </c>
      <c r="AI64" t="n">
        <v>0.07754204762</v>
      </c>
      <c r="AJ64" t="n">
        <v>0.09155819948</v>
      </c>
      <c r="AK64" t="n">
        <v>0.3000912544</v>
      </c>
      <c r="AL64" t="n">
        <v>0.3298093165</v>
      </c>
      <c r="AM64" t="n">
        <v>0.4002182968</v>
      </c>
      <c r="AN64" t="n">
        <v>0.3446344265</v>
      </c>
      <c r="AO64" t="n">
        <v>0.2702514728</v>
      </c>
      <c r="AP64" t="n">
        <v>0.1759835459</v>
      </c>
    </row>
    <row r="65">
      <c r="B65" t="n">
        <v>680</v>
      </c>
      <c r="C65" t="n">
        <v>0.09116673748</v>
      </c>
      <c r="D65" t="n">
        <v>0.07900310833</v>
      </c>
      <c r="E65" t="n">
        <v>0.07282259523</v>
      </c>
      <c r="F65" t="n">
        <v>0.1406051137</v>
      </c>
      <c r="G65" t="n">
        <v>0.1531424342</v>
      </c>
      <c r="H65" t="n">
        <v>0.3541002603</v>
      </c>
      <c r="I65" t="n">
        <v>0.3690769159</v>
      </c>
      <c r="J65" t="n">
        <v>0.3817617269</v>
      </c>
      <c r="K65" t="n">
        <v>0.3349657273</v>
      </c>
      <c r="L65" t="n">
        <v>0.2552062516</v>
      </c>
      <c r="M65" t="n">
        <v>0.1035945983</v>
      </c>
      <c r="N65" t="n">
        <v>0.07564217734000001</v>
      </c>
      <c r="O65" t="n">
        <v>0.07025913442999999</v>
      </c>
      <c r="P65" t="n">
        <v>0.1231759941</v>
      </c>
      <c r="Q65" t="n">
        <v>0.1774781116</v>
      </c>
      <c r="R65" t="n">
        <v>0.3626234135</v>
      </c>
      <c r="S65" t="n">
        <v>0.3937840826</v>
      </c>
      <c r="T65" t="n">
        <v>0.3665113688</v>
      </c>
      <c r="U65" t="n">
        <v>0.3247500139</v>
      </c>
      <c r="V65" t="n">
        <v>0.2423455808</v>
      </c>
      <c r="W65" t="n">
        <v>0.112883103</v>
      </c>
      <c r="X65" t="n">
        <v>0.07802234504</v>
      </c>
      <c r="Y65" t="n">
        <v>0.07898719715999999</v>
      </c>
      <c r="Z65" t="n">
        <v>0.1036063437</v>
      </c>
      <c r="AA65" t="n">
        <v>0.2219662284</v>
      </c>
      <c r="AB65" t="n">
        <v>0.3452697248</v>
      </c>
      <c r="AC65" t="n">
        <v>0.4064429311</v>
      </c>
      <c r="AD65" t="n">
        <v>0.3586230818</v>
      </c>
      <c r="AE65" t="n">
        <v>0.3071674251</v>
      </c>
      <c r="AF65" t="n">
        <v>0.2319464176</v>
      </c>
      <c r="AG65" t="n">
        <v>0.1269782429</v>
      </c>
      <c r="AH65" t="n">
        <v>0.08227687445</v>
      </c>
      <c r="AI65" t="n">
        <v>0.07985311409</v>
      </c>
      <c r="AJ65" t="n">
        <v>0.09173890434</v>
      </c>
      <c r="AK65" t="n">
        <v>0.3060395445</v>
      </c>
      <c r="AL65" t="n">
        <v>0.3302815623</v>
      </c>
      <c r="AM65" t="n">
        <v>0.4005835236</v>
      </c>
      <c r="AN65" t="n">
        <v>0.3456090001</v>
      </c>
      <c r="AO65" t="n">
        <v>0.2694236353</v>
      </c>
      <c r="AP65" t="n">
        <v>0.1769348481</v>
      </c>
    </row>
    <row r="66">
      <c r="B66" t="n">
        <v>685</v>
      </c>
      <c r="C66" t="n">
        <v>0.0899504534</v>
      </c>
      <c r="D66" t="n">
        <v>0.0818301812</v>
      </c>
      <c r="E66" t="n">
        <v>0.07304385306</v>
      </c>
      <c r="F66" t="n">
        <v>0.1432169468</v>
      </c>
      <c r="G66" t="n">
        <v>0.1491271196</v>
      </c>
      <c r="H66" t="n">
        <v>0.3592607182</v>
      </c>
      <c r="I66" t="n">
        <v>0.3696867576</v>
      </c>
      <c r="J66" t="n">
        <v>0.3818469484</v>
      </c>
      <c r="K66" t="n">
        <v>0.335933201</v>
      </c>
      <c r="L66" t="n">
        <v>0.2551942203</v>
      </c>
      <c r="M66" t="n">
        <v>0.1023804114</v>
      </c>
      <c r="N66" t="n">
        <v>0.07801296498</v>
      </c>
      <c r="O66" t="n">
        <v>0.07044023507</v>
      </c>
      <c r="P66" t="n">
        <v>0.1241664282</v>
      </c>
      <c r="Q66" t="n">
        <v>0.1731140262</v>
      </c>
      <c r="R66" t="n">
        <v>0.3646919063</v>
      </c>
      <c r="S66" t="n">
        <v>0.3947501762</v>
      </c>
      <c r="T66" t="n">
        <v>0.3666424636</v>
      </c>
      <c r="U66" t="n">
        <v>0.3244161497</v>
      </c>
      <c r="V66" t="n">
        <v>0.2424807718</v>
      </c>
      <c r="W66" t="n">
        <v>0.1116679161</v>
      </c>
      <c r="X66" t="n">
        <v>0.0791108516</v>
      </c>
      <c r="Y66" t="n">
        <v>0.08073055248</v>
      </c>
      <c r="Z66" t="n">
        <v>0.1042484365</v>
      </c>
      <c r="AA66" t="n">
        <v>0.2193363838</v>
      </c>
      <c r="AB66" t="n">
        <v>0.3450441578</v>
      </c>
      <c r="AC66" t="n">
        <v>0.4052601923</v>
      </c>
      <c r="AD66" t="n">
        <v>0.3587228655</v>
      </c>
      <c r="AE66" t="n">
        <v>0.3080482114</v>
      </c>
      <c r="AF66" t="n">
        <v>0.2320568492</v>
      </c>
      <c r="AG66" t="n">
        <v>0.1251924563</v>
      </c>
      <c r="AH66" t="n">
        <v>0.08232879988</v>
      </c>
      <c r="AI66" t="n">
        <v>0.08264578687</v>
      </c>
      <c r="AJ66" t="n">
        <v>0.09216151249</v>
      </c>
      <c r="AK66" t="n">
        <v>0.3106474141</v>
      </c>
      <c r="AL66" t="n">
        <v>0.3291321905</v>
      </c>
      <c r="AM66" t="n">
        <v>0.4003251444</v>
      </c>
      <c r="AN66" t="n">
        <v>0.3469393646</v>
      </c>
      <c r="AO66" t="n">
        <v>0.2692857453</v>
      </c>
      <c r="AP66" t="n">
        <v>0.1781279086</v>
      </c>
    </row>
    <row r="67">
      <c r="B67" t="n">
        <v>690</v>
      </c>
      <c r="C67" t="n">
        <v>0.08933174404999999</v>
      </c>
      <c r="D67" t="n">
        <v>0.08422630598</v>
      </c>
      <c r="E67" t="n">
        <v>0.07382439568</v>
      </c>
      <c r="F67" t="n">
        <v>0.1457575116</v>
      </c>
      <c r="G67" t="n">
        <v>0.1463508042</v>
      </c>
      <c r="H67" t="n">
        <v>0.3636551694</v>
      </c>
      <c r="I67" t="n">
        <v>0.3682925932</v>
      </c>
      <c r="J67" t="n">
        <v>0.3819826942</v>
      </c>
      <c r="K67" t="n">
        <v>0.3391472095</v>
      </c>
      <c r="L67" t="n">
        <v>0.2557100324</v>
      </c>
      <c r="M67" t="n">
        <v>0.1016408044</v>
      </c>
      <c r="N67" t="n">
        <v>0.08001647702</v>
      </c>
      <c r="O67" t="n">
        <v>0.07126675054000001</v>
      </c>
      <c r="P67" t="n">
        <v>0.125801074</v>
      </c>
      <c r="Q67" t="n">
        <v>0.1705796731</v>
      </c>
      <c r="R67" t="n">
        <v>0.3668126674</v>
      </c>
      <c r="S67" t="n">
        <v>0.3980444425</v>
      </c>
      <c r="T67" t="n">
        <v>0.3662947255</v>
      </c>
      <c r="U67" t="n">
        <v>0.3245594412</v>
      </c>
      <c r="V67" t="n">
        <v>0.2429471867</v>
      </c>
      <c r="W67" t="n">
        <v>0.1105981816</v>
      </c>
      <c r="X67" t="n">
        <v>0.08067270042999999</v>
      </c>
      <c r="Y67" t="n">
        <v>0.08216704748000001</v>
      </c>
      <c r="Z67" t="n">
        <v>0.1054150477</v>
      </c>
      <c r="AA67" t="n">
        <v>0.2164474045</v>
      </c>
      <c r="AB67" t="n">
        <v>0.3450820514</v>
      </c>
      <c r="AC67" t="n">
        <v>0.4054671379</v>
      </c>
      <c r="AD67" t="n">
        <v>0.3583804807</v>
      </c>
      <c r="AE67" t="n">
        <v>0.3092271767</v>
      </c>
      <c r="AF67" t="n">
        <v>0.2328295265</v>
      </c>
      <c r="AG67" t="n">
        <v>0.1233505498</v>
      </c>
      <c r="AH67" t="n">
        <v>0.08280311207</v>
      </c>
      <c r="AI67" t="n">
        <v>0.08514544255000001</v>
      </c>
      <c r="AJ67" t="n">
        <v>0.09302401821</v>
      </c>
      <c r="AK67" t="n">
        <v>0.3157613866</v>
      </c>
      <c r="AL67" t="n">
        <v>0.328315093</v>
      </c>
      <c r="AM67" t="n">
        <v>0.4009643788</v>
      </c>
      <c r="AN67" t="n">
        <v>0.3499300843</v>
      </c>
      <c r="AO67" t="n">
        <v>0.2698979048</v>
      </c>
      <c r="AP67" t="n">
        <v>0.1801680432</v>
      </c>
    </row>
    <row r="68">
      <c r="B68" t="n">
        <v>695</v>
      </c>
      <c r="C68" t="n">
        <v>0.08768620471999999</v>
      </c>
      <c r="D68" t="n">
        <v>0.08629888594</v>
      </c>
      <c r="E68" t="n">
        <v>0.07445205097</v>
      </c>
      <c r="F68" t="n">
        <v>0.1496458242</v>
      </c>
      <c r="G68" t="n">
        <v>0.1445311937</v>
      </c>
      <c r="H68" t="n">
        <v>0.3638739031</v>
      </c>
      <c r="I68" t="n">
        <v>0.3688536377</v>
      </c>
      <c r="J68" t="n">
        <v>0.3815377231</v>
      </c>
      <c r="K68" t="n">
        <v>0.3424559284</v>
      </c>
      <c r="L68" t="n">
        <v>0.2552653475</v>
      </c>
      <c r="M68" t="n">
        <v>0.09981865006</v>
      </c>
      <c r="N68" t="n">
        <v>0.08153733488000001</v>
      </c>
      <c r="O68" t="n">
        <v>0.07237739452</v>
      </c>
      <c r="P68" t="n">
        <v>0.1285606545</v>
      </c>
      <c r="Q68" t="n">
        <v>0.1690608833</v>
      </c>
      <c r="R68" t="n">
        <v>0.3667142739</v>
      </c>
      <c r="S68" t="n">
        <v>0.3981433095</v>
      </c>
      <c r="T68" t="n">
        <v>0.3665206404</v>
      </c>
      <c r="U68" t="n">
        <v>0.3247127543</v>
      </c>
      <c r="V68" t="n">
        <v>0.2424843318</v>
      </c>
      <c r="W68" t="n">
        <v>0.1086396861</v>
      </c>
      <c r="X68" t="n">
        <v>0.08105497041</v>
      </c>
      <c r="Y68" t="n">
        <v>0.08503319620999999</v>
      </c>
      <c r="Z68" t="n">
        <v>0.1073569539</v>
      </c>
      <c r="AA68" t="n">
        <v>0.2163463102</v>
      </c>
      <c r="AB68" t="n">
        <v>0.3440571239</v>
      </c>
      <c r="AC68" t="n">
        <v>0.4054041423</v>
      </c>
      <c r="AD68" t="n">
        <v>0.3585211858</v>
      </c>
      <c r="AE68" t="n">
        <v>0.309186691</v>
      </c>
      <c r="AF68" t="n">
        <v>0.2327724909</v>
      </c>
      <c r="AG68" t="n">
        <v>0.121687163</v>
      </c>
      <c r="AH68" t="n">
        <v>0.08104503246</v>
      </c>
      <c r="AI68" t="n">
        <v>0.08725481315</v>
      </c>
      <c r="AJ68" t="n">
        <v>0.09442273457</v>
      </c>
      <c r="AK68" t="n">
        <v>0.3187305412</v>
      </c>
      <c r="AL68" t="n">
        <v>0.328062195</v>
      </c>
      <c r="AM68" t="n">
        <v>0.3995574482</v>
      </c>
      <c r="AN68" t="n">
        <v>0.3529565958</v>
      </c>
      <c r="AO68" t="n">
        <v>0.2695031417</v>
      </c>
      <c r="AP68" t="n">
        <v>0.182238159</v>
      </c>
    </row>
    <row r="69">
      <c r="B69" t="n">
        <v>700</v>
      </c>
      <c r="C69" t="n">
        <v>0.08664659439</v>
      </c>
      <c r="D69" t="n">
        <v>0.08875103187</v>
      </c>
      <c r="E69" t="n">
        <v>0.07590166799</v>
      </c>
      <c r="F69" t="n">
        <v>0.1536619832</v>
      </c>
      <c r="G69" t="n">
        <v>0.1444470494</v>
      </c>
      <c r="H69" t="n">
        <v>0.3641692742</v>
      </c>
      <c r="I69" t="n">
        <v>0.3689982199</v>
      </c>
      <c r="J69" t="n">
        <v>0.3811835411</v>
      </c>
      <c r="K69" t="n">
        <v>0.3464907271</v>
      </c>
      <c r="L69" t="n">
        <v>0.2542534477</v>
      </c>
      <c r="M69" t="n">
        <v>0.09796958735</v>
      </c>
      <c r="N69" t="n">
        <v>0.08409723803999999</v>
      </c>
      <c r="O69" t="n">
        <v>0.07368058907</v>
      </c>
      <c r="P69" t="n">
        <v>0.1315382992</v>
      </c>
      <c r="Q69" t="n">
        <v>0.1690405325</v>
      </c>
      <c r="R69" t="n">
        <v>0.3667999247</v>
      </c>
      <c r="S69" t="n">
        <v>0.3980668984</v>
      </c>
      <c r="T69" t="n">
        <v>0.3659723794</v>
      </c>
      <c r="U69" t="n">
        <v>0.32537664</v>
      </c>
      <c r="V69" t="n">
        <v>0.2412445695</v>
      </c>
      <c r="W69" t="n">
        <v>0.1066602786</v>
      </c>
      <c r="X69" t="n">
        <v>0.08173629463</v>
      </c>
      <c r="Y69" t="n">
        <v>0.08592070215</v>
      </c>
      <c r="Z69" t="n">
        <v>0.109220337</v>
      </c>
      <c r="AA69" t="n">
        <v>0.2160277143</v>
      </c>
      <c r="AB69" t="n">
        <v>0.3449650048</v>
      </c>
      <c r="AC69" t="n">
        <v>0.4048562691</v>
      </c>
      <c r="AD69" t="n">
        <v>0.3581029683</v>
      </c>
      <c r="AE69" t="n">
        <v>0.3091180897</v>
      </c>
      <c r="AF69" t="n">
        <v>0.2326153918</v>
      </c>
      <c r="AG69" t="n">
        <v>0.1202477732</v>
      </c>
      <c r="AH69" t="n">
        <v>0.08117867141</v>
      </c>
      <c r="AI69" t="n">
        <v>0.08883539897000001</v>
      </c>
      <c r="AJ69" t="n">
        <v>0.09562129741</v>
      </c>
      <c r="AK69" t="n">
        <v>0.3227164818</v>
      </c>
      <c r="AL69" t="n">
        <v>0.3284677969</v>
      </c>
      <c r="AM69" t="n">
        <v>0.3994297934</v>
      </c>
      <c r="AN69" t="n">
        <v>0.3561586325</v>
      </c>
      <c r="AO69" t="n">
        <v>0.2688342315</v>
      </c>
      <c r="AP69" t="n">
        <v>0.1841822904</v>
      </c>
    </row>
    <row r="70">
      <c r="B70" t="n">
        <v>705</v>
      </c>
      <c r="C70" t="n">
        <v>0.08466538406</v>
      </c>
      <c r="D70" t="n">
        <v>0.08904543954999999</v>
      </c>
      <c r="E70" t="n">
        <v>0.07778533906</v>
      </c>
      <c r="F70" t="n">
        <v>0.1580818545</v>
      </c>
      <c r="G70" t="n">
        <v>0.1450797386</v>
      </c>
      <c r="H70" t="n">
        <v>0.3645243515</v>
      </c>
      <c r="I70" t="n">
        <v>0.3680422136</v>
      </c>
      <c r="J70" t="n">
        <v>0.381465847</v>
      </c>
      <c r="K70" t="n">
        <v>0.3463450852</v>
      </c>
      <c r="L70" t="n">
        <v>0.2546136217</v>
      </c>
      <c r="M70" t="n">
        <v>0.09660415192000001</v>
      </c>
      <c r="N70" t="n">
        <v>0.08381877473</v>
      </c>
      <c r="O70" t="n">
        <v>0.07557335816999999</v>
      </c>
      <c r="P70" t="n">
        <v>0.1336215817</v>
      </c>
      <c r="Q70" t="n">
        <v>0.1695557989</v>
      </c>
      <c r="R70" t="n">
        <v>0.3665870844</v>
      </c>
      <c r="S70" t="n">
        <v>0.3980820853</v>
      </c>
      <c r="T70" t="n">
        <v>0.3658150034</v>
      </c>
      <c r="U70" t="n">
        <v>0.3249364195</v>
      </c>
      <c r="V70" t="n">
        <v>0.242057223</v>
      </c>
      <c r="W70" t="n">
        <v>0.1052795196</v>
      </c>
      <c r="X70" t="n">
        <v>0.0811012983</v>
      </c>
      <c r="Y70" t="n">
        <v>0.08821703247</v>
      </c>
      <c r="Z70" t="n">
        <v>0.1111262443</v>
      </c>
      <c r="AA70" t="n">
        <v>0.2184448608</v>
      </c>
      <c r="AB70" t="n">
        <v>0.3427606898</v>
      </c>
      <c r="AC70" t="n">
        <v>0.4051781036</v>
      </c>
      <c r="AD70" t="n">
        <v>0.35782269</v>
      </c>
      <c r="AE70" t="n">
        <v>0.3090957294</v>
      </c>
      <c r="AF70" t="n">
        <v>0.2327256908</v>
      </c>
      <c r="AG70" t="n">
        <v>0.1188308916</v>
      </c>
      <c r="AH70" t="n">
        <v>0.08014518324</v>
      </c>
      <c r="AI70" t="n">
        <v>0.090033897</v>
      </c>
      <c r="AJ70" t="n">
        <v>0.09734494905</v>
      </c>
      <c r="AK70" t="n">
        <v>0.3276679616</v>
      </c>
      <c r="AL70" t="n">
        <v>0.327591668</v>
      </c>
      <c r="AM70" t="n">
        <v>0.4002264979</v>
      </c>
      <c r="AN70" t="n">
        <v>0.3561163872</v>
      </c>
      <c r="AO70" t="n">
        <v>0.2686162033</v>
      </c>
      <c r="AP70" t="n">
        <v>0.1859427759</v>
      </c>
    </row>
    <row r="71">
      <c r="B71" t="n">
        <v>710</v>
      </c>
      <c r="C71" t="n">
        <v>0.08408418267999999</v>
      </c>
      <c r="D71" t="n">
        <v>0.09001575716</v>
      </c>
      <c r="E71" t="n">
        <v>0.07925906809</v>
      </c>
      <c r="F71" t="n">
        <v>0.1601099468</v>
      </c>
      <c r="G71" t="n">
        <v>0.1464508749</v>
      </c>
      <c r="H71" t="n">
        <v>0.3648162257</v>
      </c>
      <c r="I71" t="n">
        <v>0.3687122865</v>
      </c>
      <c r="J71" t="n">
        <v>0.3815206848</v>
      </c>
      <c r="K71" t="n">
        <v>0.3462750074</v>
      </c>
      <c r="L71" t="n">
        <v>0.2544828832</v>
      </c>
      <c r="M71" t="n">
        <v>0.09600592853000001</v>
      </c>
      <c r="N71" t="n">
        <v>0.08370749559</v>
      </c>
      <c r="O71" t="n">
        <v>0.07644201186000001</v>
      </c>
      <c r="P71" t="n">
        <v>0.1359226864</v>
      </c>
      <c r="Q71" t="n">
        <v>0.1713032142</v>
      </c>
      <c r="R71" t="n">
        <v>0.3666352686</v>
      </c>
      <c r="S71" t="n">
        <v>0.3980972722</v>
      </c>
      <c r="T71" t="n">
        <v>0.3658200243</v>
      </c>
      <c r="U71" t="n">
        <v>0.3246154996</v>
      </c>
      <c r="V71" t="n">
        <v>0.2415639995</v>
      </c>
      <c r="W71" t="n">
        <v>0.1047466576</v>
      </c>
      <c r="X71" t="n">
        <v>0.08158812732</v>
      </c>
      <c r="Y71" t="n">
        <v>0.08896295731999999</v>
      </c>
      <c r="Z71" t="n">
        <v>0.112581421</v>
      </c>
      <c r="AA71" t="n">
        <v>0.2197378568</v>
      </c>
      <c r="AB71" t="n">
        <v>0.3432276941</v>
      </c>
      <c r="AC71" t="n">
        <v>0.4045171523</v>
      </c>
      <c r="AD71" t="n">
        <v>0.3571198195</v>
      </c>
      <c r="AE71" t="n">
        <v>0.3091288043</v>
      </c>
      <c r="AF71" t="n">
        <v>0.2326566247</v>
      </c>
      <c r="AG71" t="n">
        <v>0.1182796187</v>
      </c>
      <c r="AH71" t="n">
        <v>0.07937809736</v>
      </c>
      <c r="AI71" t="n">
        <v>0.09076437868999999</v>
      </c>
      <c r="AJ71" t="n">
        <v>0.09830303455</v>
      </c>
      <c r="AK71" t="n">
        <v>0.3316892245</v>
      </c>
      <c r="AL71" t="n">
        <v>0.3277235461</v>
      </c>
      <c r="AM71" t="n">
        <v>0.3992130694</v>
      </c>
      <c r="AN71" t="n">
        <v>0.3557091029</v>
      </c>
      <c r="AO71" t="n">
        <v>0.2689387063</v>
      </c>
      <c r="AP71" t="n">
        <v>0.1886280813</v>
      </c>
    </row>
    <row r="72">
      <c r="B72" t="n">
        <v>715</v>
      </c>
      <c r="C72" t="n">
        <v>0.08411787488</v>
      </c>
      <c r="D72" t="n">
        <v>0.08897115616</v>
      </c>
      <c r="E72" t="n">
        <v>0.08077796592</v>
      </c>
      <c r="F72" t="n">
        <v>0.1622967814</v>
      </c>
      <c r="G72" t="n">
        <v>0.1482487563</v>
      </c>
      <c r="H72" t="n">
        <v>0.3651343835</v>
      </c>
      <c r="I72" t="n">
        <v>0.3689693779</v>
      </c>
      <c r="J72" t="n">
        <v>0.3816179667</v>
      </c>
      <c r="K72" t="n">
        <v>0.3467894832</v>
      </c>
      <c r="L72" t="n">
        <v>0.2547448873</v>
      </c>
      <c r="M72" t="n">
        <v>0.09658733401</v>
      </c>
      <c r="N72" t="n">
        <v>0.08338214771999999</v>
      </c>
      <c r="O72" t="n">
        <v>0.07744739822</v>
      </c>
      <c r="P72" t="n">
        <v>0.1365380323</v>
      </c>
      <c r="Q72" t="n">
        <v>0.173684609</v>
      </c>
      <c r="R72" t="n">
        <v>0.3664649305</v>
      </c>
      <c r="S72" t="n">
        <v>0.3981124591</v>
      </c>
      <c r="T72" t="n">
        <v>0.3656516544</v>
      </c>
      <c r="U72" t="n">
        <v>0.3252174756</v>
      </c>
      <c r="V72" t="n">
        <v>0.2420332304</v>
      </c>
      <c r="W72" t="n">
        <v>0.1055804233</v>
      </c>
      <c r="X72" t="n">
        <v>0.08189515913000001</v>
      </c>
      <c r="Y72" t="n">
        <v>0.08860775523</v>
      </c>
      <c r="Z72" t="n">
        <v>0.1132273942</v>
      </c>
      <c r="AA72" t="n">
        <v>0.2227429667</v>
      </c>
      <c r="AB72" t="n">
        <v>0.3412815293</v>
      </c>
      <c r="AC72" t="n">
        <v>0.4043383153</v>
      </c>
      <c r="AD72" t="n">
        <v>0.3568826212</v>
      </c>
      <c r="AE72" t="n">
        <v>0.3091278912</v>
      </c>
      <c r="AF72" t="n">
        <v>0.2327190067</v>
      </c>
      <c r="AG72" t="n">
        <v>0.1193073808</v>
      </c>
      <c r="AH72" t="n">
        <v>0.08042043980999999</v>
      </c>
      <c r="AI72" t="n">
        <v>0.08975728343</v>
      </c>
      <c r="AJ72" t="n">
        <v>0.09895616686</v>
      </c>
      <c r="AK72" t="n">
        <v>0.336162607</v>
      </c>
      <c r="AL72" t="n">
        <v>0.3263663077</v>
      </c>
      <c r="AM72" t="n">
        <v>0.3993711329</v>
      </c>
      <c r="AN72" t="n">
        <v>0.3557025389</v>
      </c>
      <c r="AO72" t="n">
        <v>0.2689298034</v>
      </c>
      <c r="AP72" t="n">
        <v>0.1894449447</v>
      </c>
    </row>
    <row r="73">
      <c r="B73" t="n">
        <v>720</v>
      </c>
      <c r="C73" t="n">
        <v>0.08539718053000001</v>
      </c>
      <c r="D73" t="n">
        <v>0.08856859858</v>
      </c>
      <c r="E73" t="n">
        <v>0.08176695015</v>
      </c>
      <c r="F73" t="n">
        <v>0.1626519111</v>
      </c>
      <c r="G73" t="n">
        <v>0.1505619284</v>
      </c>
      <c r="H73" t="n">
        <v>0.3655298328</v>
      </c>
      <c r="I73" t="n">
        <v>0.3687616124</v>
      </c>
      <c r="J73" t="n">
        <v>0.382103132</v>
      </c>
      <c r="K73" t="n">
        <v>0.3464360688</v>
      </c>
      <c r="L73" t="n">
        <v>0.2549063925</v>
      </c>
      <c r="M73" t="n">
        <v>0.09865134175</v>
      </c>
      <c r="N73" t="n">
        <v>0.08315133352</v>
      </c>
      <c r="O73" t="n">
        <v>0.07843030903000001</v>
      </c>
      <c r="P73" t="n">
        <v>0.1359910745</v>
      </c>
      <c r="Q73" t="n">
        <v>0.1772426171</v>
      </c>
      <c r="R73" t="n">
        <v>0.3665043225</v>
      </c>
      <c r="S73" t="n">
        <v>0.398127646</v>
      </c>
      <c r="T73" t="n">
        <v>0.3657151533</v>
      </c>
      <c r="U73" t="n">
        <v>0.3244492229</v>
      </c>
      <c r="V73" t="n">
        <v>0.2425262472</v>
      </c>
      <c r="W73" t="n">
        <v>0.1070441142</v>
      </c>
      <c r="X73" t="n">
        <v>0.08258484206</v>
      </c>
      <c r="Y73" t="n">
        <v>0.08928862922</v>
      </c>
      <c r="Z73" t="n">
        <v>0.1132560186</v>
      </c>
      <c r="AA73" t="n">
        <v>0.2252006426</v>
      </c>
      <c r="AB73" t="n">
        <v>0.3419499405</v>
      </c>
      <c r="AC73" t="n">
        <v>0.4046693836</v>
      </c>
      <c r="AD73" t="n">
        <v>0.3568300831</v>
      </c>
      <c r="AE73" t="n">
        <v>0.3091017441</v>
      </c>
      <c r="AF73" t="n">
        <v>0.2327872993</v>
      </c>
      <c r="AG73" t="n">
        <v>0.1214560025</v>
      </c>
      <c r="AH73" t="n">
        <v>0.08276213524999999</v>
      </c>
      <c r="AI73" t="n">
        <v>0.08884975576</v>
      </c>
      <c r="AJ73" t="n">
        <v>0.09930052783</v>
      </c>
      <c r="AK73" t="n">
        <v>0.3416444549</v>
      </c>
      <c r="AL73" t="n">
        <v>0.3276598163</v>
      </c>
      <c r="AM73" t="n">
        <v>0.4002932583</v>
      </c>
      <c r="AN73" t="n">
        <v>0.3557685668</v>
      </c>
      <c r="AO73" t="n">
        <v>0.268674851</v>
      </c>
      <c r="AP73" t="n">
        <v>0.1888738301</v>
      </c>
    </row>
    <row r="74">
      <c r="B74" t="n">
        <v>725</v>
      </c>
      <c r="C74" t="n">
        <v>0.087527061</v>
      </c>
      <c r="D74" t="n">
        <v>0.08810150115</v>
      </c>
      <c r="E74" t="n">
        <v>0.08295115687</v>
      </c>
      <c r="F74" t="n">
        <v>0.1628655671</v>
      </c>
      <c r="G74" t="n">
        <v>0.1533524048</v>
      </c>
      <c r="H74" t="n">
        <v>0.3657847771</v>
      </c>
      <c r="I74" t="n">
        <v>0.3684175733</v>
      </c>
      <c r="J74" t="n">
        <v>0.381166656</v>
      </c>
      <c r="K74" t="n">
        <v>0.3466935668</v>
      </c>
      <c r="L74" t="n">
        <v>0.2546540398</v>
      </c>
      <c r="M74" t="n">
        <v>0.1015509596</v>
      </c>
      <c r="N74" t="n">
        <v>0.08464560576999999</v>
      </c>
      <c r="O74" t="n">
        <v>0.07878233753</v>
      </c>
      <c r="P74" t="n">
        <v>0.135914079</v>
      </c>
      <c r="Q74" t="n">
        <v>0.1796821488</v>
      </c>
      <c r="R74" t="n">
        <v>0.3663312973</v>
      </c>
      <c r="S74" t="n">
        <v>0.3981428329</v>
      </c>
      <c r="T74" t="n">
        <v>0.3653331978</v>
      </c>
      <c r="U74" t="n">
        <v>0.3246454811</v>
      </c>
      <c r="V74" t="n">
        <v>0.2419643125</v>
      </c>
      <c r="W74" t="n">
        <v>0.1102708784</v>
      </c>
      <c r="X74" t="n">
        <v>0.08392257676000001</v>
      </c>
      <c r="Y74" t="n">
        <v>0.08883229733</v>
      </c>
      <c r="Z74" t="n">
        <v>0.1130193763</v>
      </c>
      <c r="AA74" t="n">
        <v>0.2297626125</v>
      </c>
      <c r="AB74" t="n">
        <v>0.3400674739</v>
      </c>
      <c r="AC74" t="n">
        <v>0.4036850872</v>
      </c>
      <c r="AD74" t="n">
        <v>0.3572535597</v>
      </c>
      <c r="AE74" t="n">
        <v>0.3091163917</v>
      </c>
      <c r="AF74" t="n">
        <v>0.2327111093</v>
      </c>
      <c r="AG74" t="n">
        <v>0.124571314</v>
      </c>
      <c r="AH74" t="n">
        <v>0.08455155572</v>
      </c>
      <c r="AI74" t="n">
        <v>0.08925281744999999</v>
      </c>
      <c r="AJ74" t="n">
        <v>0.09903162626000001</v>
      </c>
      <c r="AK74" t="n">
        <v>0.3453512392</v>
      </c>
      <c r="AL74" t="n">
        <v>0.3266079733</v>
      </c>
      <c r="AM74" t="n">
        <v>0.3989748499</v>
      </c>
      <c r="AN74" t="n">
        <v>0.3563210818</v>
      </c>
      <c r="AO74" t="n">
        <v>0.2688176748</v>
      </c>
      <c r="AP74" t="n">
        <v>0.1889987045</v>
      </c>
    </row>
    <row r="75">
      <c r="B75" t="n">
        <v>730</v>
      </c>
      <c r="C75" t="n">
        <v>0.09144158635000001</v>
      </c>
      <c r="D75" t="n">
        <v>0.08884098055</v>
      </c>
      <c r="E75" t="n">
        <v>0.08413296709</v>
      </c>
      <c r="F75" t="n">
        <v>0.1631318201</v>
      </c>
      <c r="G75" t="n">
        <v>0.1568929626</v>
      </c>
      <c r="H75" t="n">
        <v>0.3661150837</v>
      </c>
      <c r="I75" t="n">
        <v>0.3687780317</v>
      </c>
      <c r="J75" t="n">
        <v>0.3808986595</v>
      </c>
      <c r="K75" t="n">
        <v>0.3476221368</v>
      </c>
      <c r="L75" t="n">
        <v>0.2556288375</v>
      </c>
      <c r="M75" t="n">
        <v>0.105999984</v>
      </c>
      <c r="N75" t="n">
        <v>0.08615588243</v>
      </c>
      <c r="O75" t="n">
        <v>0.08003922030000001</v>
      </c>
      <c r="P75" t="n">
        <v>0.1362465966</v>
      </c>
      <c r="Q75" t="n">
        <v>0.1834085484</v>
      </c>
      <c r="R75" t="n">
        <v>0.3664405711</v>
      </c>
      <c r="S75" t="n">
        <v>0.3981580197</v>
      </c>
      <c r="T75" t="n">
        <v>0.3649043737</v>
      </c>
      <c r="U75" t="n">
        <v>0.3259012308</v>
      </c>
      <c r="V75" t="n">
        <v>0.2424537971</v>
      </c>
      <c r="W75" t="n">
        <v>0.1147456775</v>
      </c>
      <c r="X75" t="n">
        <v>0.08761605654</v>
      </c>
      <c r="Y75" t="n">
        <v>0.08960782047</v>
      </c>
      <c r="Z75" t="n">
        <v>0.1136048972</v>
      </c>
      <c r="AA75" t="n">
        <v>0.2339060749</v>
      </c>
      <c r="AB75" t="n">
        <v>0.3408621647</v>
      </c>
      <c r="AC75" t="n">
        <v>0.4047458534</v>
      </c>
      <c r="AD75" t="n">
        <v>0.3568376565</v>
      </c>
      <c r="AE75" t="n">
        <v>0.3092713912</v>
      </c>
      <c r="AF75" t="n">
        <v>0.2327592394</v>
      </c>
      <c r="AG75" t="n">
        <v>0.1287125861</v>
      </c>
      <c r="AH75" t="n">
        <v>0.08876292169</v>
      </c>
      <c r="AI75" t="n">
        <v>0.09024747761</v>
      </c>
      <c r="AJ75" t="n">
        <v>0.09973379585</v>
      </c>
      <c r="AK75" t="n">
        <v>0.3500471505</v>
      </c>
      <c r="AL75" t="n">
        <v>0.3254814664</v>
      </c>
      <c r="AM75" t="n">
        <v>0.3997228602</v>
      </c>
      <c r="AN75" t="n">
        <v>0.3562546282</v>
      </c>
      <c r="AO75" t="n">
        <v>0.2703290272</v>
      </c>
      <c r="AP75" t="n">
        <v>0.1899058622</v>
      </c>
    </row>
    <row r="76">
      <c r="B76" t="n">
        <v>735</v>
      </c>
      <c r="C76" t="n">
        <v>0.09781734408999999</v>
      </c>
      <c r="D76" t="n">
        <v>0.09220722063</v>
      </c>
      <c r="E76" t="n">
        <v>0.08588701108000001</v>
      </c>
      <c r="F76" t="n">
        <v>0.1655219521</v>
      </c>
      <c r="G76" t="n">
        <v>0.1633893486</v>
      </c>
      <c r="H76" t="n">
        <v>0.3666660773</v>
      </c>
      <c r="I76" t="n">
        <v>0.3685679076</v>
      </c>
      <c r="J76" t="n">
        <v>0.3807736347</v>
      </c>
      <c r="K76" t="n">
        <v>0.3472764808</v>
      </c>
      <c r="L76" t="n">
        <v>0.255470496</v>
      </c>
      <c r="M76" t="n">
        <v>0.1129150179</v>
      </c>
      <c r="N76" t="n">
        <v>0.08970830238999999</v>
      </c>
      <c r="O76" t="n">
        <v>0.08134236786</v>
      </c>
      <c r="P76" t="n">
        <v>0.1374855051</v>
      </c>
      <c r="Q76" t="n">
        <v>0.1891160444</v>
      </c>
      <c r="R76" t="n">
        <v>0.3663804161</v>
      </c>
      <c r="S76" t="n">
        <v>0.3981732066</v>
      </c>
      <c r="T76" t="n">
        <v>0.3645805739</v>
      </c>
      <c r="U76" t="n">
        <v>0.325145227</v>
      </c>
      <c r="V76" t="n">
        <v>0.2422688134</v>
      </c>
      <c r="W76" t="n">
        <v>0.1209940563</v>
      </c>
      <c r="X76" t="n">
        <v>0.09269932225999999</v>
      </c>
      <c r="Y76" t="n">
        <v>0.09167152914</v>
      </c>
      <c r="Z76" t="n">
        <v>0.1150312634</v>
      </c>
      <c r="AA76" t="n">
        <v>0.2398695051</v>
      </c>
      <c r="AB76" t="n">
        <v>0.3405624723</v>
      </c>
      <c r="AC76" t="n">
        <v>0.4044489527</v>
      </c>
      <c r="AD76" t="n">
        <v>0.3571682232</v>
      </c>
      <c r="AE76" t="n">
        <v>0.3092595279</v>
      </c>
      <c r="AF76" t="n">
        <v>0.2327359765</v>
      </c>
      <c r="AG76" t="n">
        <v>0.1345802374</v>
      </c>
      <c r="AH76" t="n">
        <v>0.09576873641</v>
      </c>
      <c r="AI76" t="n">
        <v>0.09318675377000001</v>
      </c>
      <c r="AJ76" t="n">
        <v>0.1011986192</v>
      </c>
      <c r="AK76" t="n">
        <v>0.3578284673</v>
      </c>
      <c r="AL76" t="n">
        <v>0.3267344256</v>
      </c>
      <c r="AM76" t="n">
        <v>0.4001869814</v>
      </c>
      <c r="AN76" t="n">
        <v>0.3567208381</v>
      </c>
      <c r="AO76" t="n">
        <v>0.2702133515</v>
      </c>
      <c r="AP76" t="n">
        <v>0.1917969837</v>
      </c>
    </row>
    <row r="77">
      <c r="B77" t="n">
        <v>740</v>
      </c>
      <c r="C77" t="n">
        <v>0.1058233467</v>
      </c>
      <c r="D77" t="n">
        <v>0.0961819289</v>
      </c>
      <c r="E77" t="n">
        <v>0.08792500591000001</v>
      </c>
      <c r="F77" t="n">
        <v>0.1680922151</v>
      </c>
      <c r="G77" t="n">
        <v>0.1712460162</v>
      </c>
      <c r="H77" t="n">
        <v>0.3666744437</v>
      </c>
      <c r="I77" t="n">
        <v>0.3686475132</v>
      </c>
      <c r="J77" t="n">
        <v>0.3809779381</v>
      </c>
      <c r="K77" t="n">
        <v>0.3474801979</v>
      </c>
      <c r="L77" t="n">
        <v>0.2548360928</v>
      </c>
      <c r="M77" t="n">
        <v>0.1230082392</v>
      </c>
      <c r="N77" t="n">
        <v>0.09474590807</v>
      </c>
      <c r="O77" t="n">
        <v>0.08328576871</v>
      </c>
      <c r="P77" t="n">
        <v>0.1396013048</v>
      </c>
      <c r="Q77" t="n">
        <v>0.1966946837</v>
      </c>
      <c r="R77" t="n">
        <v>0.3662342362</v>
      </c>
      <c r="S77" t="n">
        <v>0.3981883935</v>
      </c>
      <c r="T77" t="n">
        <v>0.3641803547</v>
      </c>
      <c r="U77" t="n">
        <v>0.3252565757</v>
      </c>
      <c r="V77" t="n">
        <v>0.2426325381</v>
      </c>
      <c r="W77" t="n">
        <v>0.1300179524</v>
      </c>
      <c r="X77" t="n">
        <v>0.09807603459</v>
      </c>
      <c r="Y77" t="n">
        <v>0.096127585</v>
      </c>
      <c r="Z77" t="n">
        <v>0.1168538542</v>
      </c>
      <c r="AA77" t="n">
        <v>0.2474407943</v>
      </c>
      <c r="AB77" t="n">
        <v>0.3388121964</v>
      </c>
      <c r="AC77" t="n">
        <v>0.4037637178</v>
      </c>
      <c r="AD77" t="n">
        <v>0.3562574412</v>
      </c>
      <c r="AE77" t="n">
        <v>0.3090728285</v>
      </c>
      <c r="AF77" t="n">
        <v>0.2328045619</v>
      </c>
      <c r="AG77" t="n">
        <v>0.1440016837</v>
      </c>
      <c r="AH77" t="n">
        <v>0.1048071045</v>
      </c>
      <c r="AI77" t="n">
        <v>0.09664418174</v>
      </c>
      <c r="AJ77" t="n">
        <v>0.1027924022</v>
      </c>
      <c r="AK77" t="n">
        <v>0.3583351683</v>
      </c>
      <c r="AL77" t="n">
        <v>0.3251752424</v>
      </c>
      <c r="AM77" t="n">
        <v>0.4000762822</v>
      </c>
      <c r="AN77" t="n">
        <v>0.3562729711</v>
      </c>
      <c r="AO77" t="n">
        <v>0.2683929038</v>
      </c>
      <c r="AP77" t="n">
        <v>0.1927712054</v>
      </c>
    </row>
    <row r="78">
      <c r="B78" t="n">
        <v>745</v>
      </c>
      <c r="C78" t="n">
        <v>0.1177571894</v>
      </c>
      <c r="D78" t="n">
        <v>0.1014966972</v>
      </c>
      <c r="E78" t="n">
        <v>0.09131934292</v>
      </c>
      <c r="F78" t="n">
        <v>0.1724265436</v>
      </c>
      <c r="G78" t="n">
        <v>0.1803052421</v>
      </c>
      <c r="H78" t="n">
        <v>0.3666828102</v>
      </c>
      <c r="I78" t="n">
        <v>0.3676126414</v>
      </c>
      <c r="J78" t="n">
        <v>0.3815260609</v>
      </c>
      <c r="K78" t="n">
        <v>0.3479912984</v>
      </c>
      <c r="L78" t="n">
        <v>0.2540515508</v>
      </c>
      <c r="M78" t="n">
        <v>0.1372352389</v>
      </c>
      <c r="N78" t="n">
        <v>0.1013886793</v>
      </c>
      <c r="O78" t="n">
        <v>0.08606431167</v>
      </c>
      <c r="P78" t="n">
        <v>0.1428102515</v>
      </c>
      <c r="Q78" t="n">
        <v>0.2066765718</v>
      </c>
      <c r="R78" t="n">
        <v>0.3661627438</v>
      </c>
      <c r="S78" t="n">
        <v>0.3982035804</v>
      </c>
      <c r="T78" t="n">
        <v>0.3648233766</v>
      </c>
      <c r="U78" t="n">
        <v>0.3258532227</v>
      </c>
      <c r="V78" t="n">
        <v>0.2409884738</v>
      </c>
      <c r="W78" t="n">
        <v>0.1447169119</v>
      </c>
      <c r="X78" t="n">
        <v>0.1075619014</v>
      </c>
      <c r="Y78" t="n">
        <v>0.1014855767</v>
      </c>
      <c r="Z78" t="n">
        <v>0.1196816763</v>
      </c>
      <c r="AA78" t="n">
        <v>0.2576808379</v>
      </c>
      <c r="AB78" t="n">
        <v>0.3382363645</v>
      </c>
      <c r="AC78" t="n">
        <v>0.403459387</v>
      </c>
      <c r="AD78" t="n">
        <v>0.3560978516</v>
      </c>
      <c r="AE78" t="n">
        <v>0.3091055111</v>
      </c>
      <c r="AF78" t="n">
        <v>0.2325827679</v>
      </c>
      <c r="AG78" t="n">
        <v>0.1573704217</v>
      </c>
      <c r="AH78" t="n">
        <v>0.1170220879</v>
      </c>
      <c r="AI78" t="n">
        <v>0.1029073717</v>
      </c>
      <c r="AJ78" t="n">
        <v>0.1053100099</v>
      </c>
      <c r="AK78" t="n">
        <v>0.3589821954</v>
      </c>
      <c r="AL78" t="n">
        <v>0.3255117993</v>
      </c>
      <c r="AM78" t="n">
        <v>0.3993938453</v>
      </c>
      <c r="AN78" t="n">
        <v>0.3560918518</v>
      </c>
      <c r="AO78" t="n">
        <v>0.2687115818</v>
      </c>
      <c r="AP78" t="n">
        <v>0.195821429</v>
      </c>
    </row>
    <row r="79">
      <c r="B79" t="n">
        <v>750</v>
      </c>
      <c r="C79" t="n">
        <v>0.1325171494</v>
      </c>
      <c r="D79" t="n">
        <v>0.1078754901</v>
      </c>
      <c r="E79" t="n">
        <v>0.09379532954</v>
      </c>
      <c r="F79" t="n">
        <v>0.176751082</v>
      </c>
      <c r="G79" t="n">
        <v>0.1914531765</v>
      </c>
      <c r="H79" t="n">
        <v>0.3666911766</v>
      </c>
      <c r="I79" t="n">
        <v>0.3670503065</v>
      </c>
      <c r="J79" t="n">
        <v>0.3797901563</v>
      </c>
      <c r="K79" t="n">
        <v>0.3477122199</v>
      </c>
      <c r="L79" t="n">
        <v>0.253840595</v>
      </c>
      <c r="M79" t="n">
        <v>0.1564703838</v>
      </c>
      <c r="N79" t="n">
        <v>0.1079258659</v>
      </c>
      <c r="O79" t="n">
        <v>0.08852359357</v>
      </c>
      <c r="P79" t="n">
        <v>0.1461586736</v>
      </c>
      <c r="Q79" t="n">
        <v>0.2161686821</v>
      </c>
      <c r="R79" t="n">
        <v>0.3662471144</v>
      </c>
      <c r="S79" t="n">
        <v>0.3982187673</v>
      </c>
      <c r="T79" t="n">
        <v>0.3636599116</v>
      </c>
      <c r="U79" t="n">
        <v>0.3252023319</v>
      </c>
      <c r="V79" t="n">
        <v>0.2411659133</v>
      </c>
      <c r="W79" t="n">
        <v>0.1646029293</v>
      </c>
      <c r="X79" t="n">
        <v>0.1175617105</v>
      </c>
      <c r="Y79" t="n">
        <v>0.1061366547</v>
      </c>
      <c r="Z79" t="n">
        <v>0.1221250086</v>
      </c>
      <c r="AA79" t="n">
        <v>0.2683638174</v>
      </c>
      <c r="AB79" t="n">
        <v>0.3389927823</v>
      </c>
      <c r="AC79" t="n">
        <v>0.4038628752</v>
      </c>
      <c r="AD79" t="n">
        <v>0.3556436138</v>
      </c>
      <c r="AE79" t="n">
        <v>0.3090362531</v>
      </c>
      <c r="AF79" t="n">
        <v>0.2326138466</v>
      </c>
      <c r="AG79" t="n">
        <v>0.1739521954</v>
      </c>
      <c r="AH79" t="n">
        <v>0.1305396366</v>
      </c>
      <c r="AI79" t="n">
        <v>0.1090434044</v>
      </c>
      <c r="AJ79" t="n">
        <v>0.1071757547</v>
      </c>
      <c r="AK79" t="n">
        <v>0.3596581562</v>
      </c>
      <c r="AL79" t="n">
        <v>0.3251499226</v>
      </c>
      <c r="AM79" t="n">
        <v>0.3984330565</v>
      </c>
      <c r="AN79" t="n">
        <v>0.3562074566</v>
      </c>
      <c r="AO79" t="n">
        <v>0.2680362684</v>
      </c>
      <c r="AP79" t="n">
        <v>0.1981112877</v>
      </c>
    </row>
    <row r="80">
      <c r="B80" t="n">
        <v>755</v>
      </c>
      <c r="C80" t="n">
        <v>0.148694384</v>
      </c>
      <c r="D80" t="n">
        <v>0.112732781</v>
      </c>
      <c r="E80" t="n">
        <v>0.09654708405</v>
      </c>
      <c r="F80" t="n">
        <v>0.181755725</v>
      </c>
      <c r="G80" t="n">
        <v>0.2045646556</v>
      </c>
      <c r="H80" t="n">
        <v>0.366699543</v>
      </c>
      <c r="I80" t="n">
        <v>0.3673718173</v>
      </c>
      <c r="J80" t="n">
        <v>0.3805956125</v>
      </c>
      <c r="K80" t="n">
        <v>0.3477771424</v>
      </c>
      <c r="L80" t="n">
        <v>0.2538778413</v>
      </c>
      <c r="M80" t="n">
        <v>0.1801233472</v>
      </c>
      <c r="N80" t="n">
        <v>0.1146907342</v>
      </c>
      <c r="O80" t="n">
        <v>0.09162371213999999</v>
      </c>
      <c r="P80" t="n">
        <v>0.1494454926</v>
      </c>
      <c r="Q80" t="n">
        <v>0.2288321614</v>
      </c>
      <c r="R80" t="n">
        <v>0.3659680107</v>
      </c>
      <c r="S80" t="n">
        <v>0.3982339542</v>
      </c>
      <c r="T80" t="n">
        <v>0.3639206562</v>
      </c>
      <c r="U80" t="n">
        <v>0.3250945512</v>
      </c>
      <c r="V80" t="n">
        <v>0.2409660947</v>
      </c>
      <c r="W80" t="n">
        <v>0.1897884184</v>
      </c>
      <c r="X80" t="n">
        <v>0.1254924225</v>
      </c>
      <c r="Y80" t="n">
        <v>0.1117550032</v>
      </c>
      <c r="Z80" t="n">
        <v>0.1252341415</v>
      </c>
      <c r="AA80" t="n">
        <v>0.2789080542</v>
      </c>
      <c r="AB80" t="n">
        <v>0.3362986535</v>
      </c>
      <c r="AC80" t="n">
        <v>0.4034589026</v>
      </c>
      <c r="AD80" t="n">
        <v>0.3554304469</v>
      </c>
      <c r="AE80" t="n">
        <v>0.3090697027</v>
      </c>
      <c r="AF80" t="n">
        <v>0.2325836869</v>
      </c>
      <c r="AG80" t="n">
        <v>0.1940111915</v>
      </c>
      <c r="AH80" t="n">
        <v>0.1446511805</v>
      </c>
      <c r="AI80" t="n">
        <v>0.1148231047</v>
      </c>
      <c r="AJ80" t="n">
        <v>0.110042924</v>
      </c>
      <c r="AK80" t="n">
        <v>0.3603058873</v>
      </c>
      <c r="AL80" t="n">
        <v>0.3251879002</v>
      </c>
      <c r="AM80" t="n">
        <v>0.3988817939</v>
      </c>
      <c r="AN80" t="n">
        <v>0.3560957174</v>
      </c>
      <c r="AO80" t="n">
        <v>0.2683624252</v>
      </c>
      <c r="AP80" t="n">
        <v>0.201960741</v>
      </c>
    </row>
    <row r="81">
      <c r="B81" t="n">
        <v>760</v>
      </c>
      <c r="C81" t="n">
        <v>0.1633782371</v>
      </c>
      <c r="D81" t="n">
        <v>0.1179664652</v>
      </c>
      <c r="E81" t="n">
        <v>0.09960412008</v>
      </c>
      <c r="F81" t="n">
        <v>0.1856667036</v>
      </c>
      <c r="G81" t="n">
        <v>0.2171179088</v>
      </c>
      <c r="H81" t="n">
        <v>0.3667079094</v>
      </c>
      <c r="I81" t="n">
        <v>0.3664656075</v>
      </c>
      <c r="J81" t="n">
        <v>0.3811186224</v>
      </c>
      <c r="K81" t="n">
        <v>0.3478126332</v>
      </c>
      <c r="L81" t="n">
        <v>0.2542881785</v>
      </c>
      <c r="M81" t="n">
        <v>0.2036905903</v>
      </c>
      <c r="N81" t="n">
        <v>0.1208365408</v>
      </c>
      <c r="O81" t="n">
        <v>0.09522387957</v>
      </c>
      <c r="P81" t="n">
        <v>0.1537148851</v>
      </c>
      <c r="Q81" t="n">
        <v>0.2385600959</v>
      </c>
      <c r="R81" t="n">
        <v>0.365975288</v>
      </c>
      <c r="S81" t="n">
        <v>0.3982491411</v>
      </c>
      <c r="T81" t="n">
        <v>0.3642332447</v>
      </c>
      <c r="U81" t="n">
        <v>0.3249403036</v>
      </c>
      <c r="V81" t="n">
        <v>0.2414992245</v>
      </c>
      <c r="W81" t="n">
        <v>0.2171661269</v>
      </c>
      <c r="X81" t="n">
        <v>0.1338181168</v>
      </c>
      <c r="Y81" t="n">
        <v>0.116806481</v>
      </c>
      <c r="Z81" t="n">
        <v>0.1283837618</v>
      </c>
      <c r="AA81" t="n">
        <v>0.2885674332</v>
      </c>
      <c r="AB81" t="n">
        <v>0.3366269863</v>
      </c>
      <c r="AC81" t="n">
        <v>0.4046899548</v>
      </c>
      <c r="AD81" t="n">
        <v>0.3553523502</v>
      </c>
      <c r="AE81" t="n">
        <v>0.3090936957</v>
      </c>
      <c r="AF81" t="n">
        <v>0.2326518427</v>
      </c>
      <c r="AG81" t="n">
        <v>0.2149901197</v>
      </c>
      <c r="AH81" t="n">
        <v>0.1549002532</v>
      </c>
      <c r="AI81" t="n">
        <v>0.1196341164</v>
      </c>
      <c r="AJ81" t="n">
        <v>0.1124678625</v>
      </c>
      <c r="AK81" t="n">
        <v>0.3609206743</v>
      </c>
      <c r="AL81" t="n">
        <v>0.3262156797</v>
      </c>
      <c r="AM81" t="n">
        <v>0.3999889405</v>
      </c>
      <c r="AN81" t="n">
        <v>0.3560710165</v>
      </c>
      <c r="AO81" t="n">
        <v>0.2685963734</v>
      </c>
      <c r="AP81" t="n">
        <v>0.2045025087</v>
      </c>
    </row>
    <row r="82">
      <c r="B82" t="n">
        <v>765</v>
      </c>
      <c r="C82" t="n">
        <v>0.1759457115</v>
      </c>
      <c r="D82" t="n">
        <v>0.1224345342</v>
      </c>
      <c r="E82" t="n">
        <v>0.1025631267</v>
      </c>
      <c r="F82" t="n">
        <v>0.1895746254</v>
      </c>
      <c r="G82" t="n">
        <v>0.2271057223</v>
      </c>
      <c r="H82" t="n">
        <v>0.3667162758</v>
      </c>
      <c r="I82" t="n">
        <v>0.3673164378</v>
      </c>
      <c r="J82" t="n">
        <v>0.3806535832</v>
      </c>
      <c r="K82" t="n">
        <v>0.348135664</v>
      </c>
      <c r="L82" t="n">
        <v>0.2547321072</v>
      </c>
      <c r="M82" t="n">
        <v>0.2251982039</v>
      </c>
      <c r="N82" t="n">
        <v>0.1260808906</v>
      </c>
      <c r="O82" t="n">
        <v>0.09735892459000001</v>
      </c>
      <c r="P82" t="n">
        <v>0.1577346374</v>
      </c>
      <c r="Q82" t="n">
        <v>0.24746211</v>
      </c>
      <c r="R82" t="n">
        <v>0.3659487237</v>
      </c>
      <c r="S82" t="n">
        <v>0.398264328</v>
      </c>
      <c r="T82" t="n">
        <v>0.3643739158</v>
      </c>
      <c r="U82" t="n">
        <v>0.3252400253</v>
      </c>
      <c r="V82" t="n">
        <v>0.2425548328</v>
      </c>
      <c r="W82" t="n">
        <v>0.2418371688</v>
      </c>
      <c r="X82" t="n">
        <v>0.1396370698</v>
      </c>
      <c r="Y82" t="n">
        <v>0.1194667979</v>
      </c>
      <c r="Z82" t="n">
        <v>0.1319108436</v>
      </c>
      <c r="AA82" t="n">
        <v>0.2974235271</v>
      </c>
      <c r="AB82" t="n">
        <v>0.3358753725</v>
      </c>
      <c r="AC82" t="n">
        <v>0.403995442</v>
      </c>
      <c r="AD82" t="n">
        <v>0.356247601</v>
      </c>
      <c r="AE82" t="n">
        <v>0.3090595332</v>
      </c>
      <c r="AF82" t="n">
        <v>0.2327956951</v>
      </c>
      <c r="AG82" t="n">
        <v>0.2346893613</v>
      </c>
      <c r="AH82" t="n">
        <v>0.163890425</v>
      </c>
      <c r="AI82" t="n">
        <v>0.124485385</v>
      </c>
      <c r="AJ82" t="n">
        <v>0.1155663226</v>
      </c>
      <c r="AK82" t="n">
        <v>0.3614938751</v>
      </c>
      <c r="AL82" t="n">
        <v>0.3240840459</v>
      </c>
      <c r="AM82" t="n">
        <v>0.3990865105</v>
      </c>
      <c r="AN82" t="n">
        <v>0.3568289583</v>
      </c>
      <c r="AO82" t="n">
        <v>0.2682632658</v>
      </c>
      <c r="AP82" t="n">
        <v>0.2068921846</v>
      </c>
    </row>
    <row r="83">
      <c r="B83" t="n">
        <v>770</v>
      </c>
      <c r="C83" t="n">
        <v>0.183179694</v>
      </c>
      <c r="D83" t="n">
        <v>0.1234209543</v>
      </c>
      <c r="E83" t="n">
        <v>0.1045270602</v>
      </c>
      <c r="F83" t="n">
        <v>0.1933658681</v>
      </c>
      <c r="G83" t="n">
        <v>0.2361890783</v>
      </c>
      <c r="H83" t="n">
        <v>0.3667246423</v>
      </c>
      <c r="I83" t="n">
        <v>0.3656743387</v>
      </c>
      <c r="J83" t="n">
        <v>0.3792796594</v>
      </c>
      <c r="K83" t="n">
        <v>0.3477763449</v>
      </c>
      <c r="L83" t="n">
        <v>0.2541697745</v>
      </c>
      <c r="M83" t="n">
        <v>0.2404467728</v>
      </c>
      <c r="N83" t="n">
        <v>0.1277731797</v>
      </c>
      <c r="O83" t="n">
        <v>0.1009750404</v>
      </c>
      <c r="P83" t="n">
        <v>0.160711765</v>
      </c>
      <c r="Q83" t="n">
        <v>0.2571573042</v>
      </c>
      <c r="R83" t="n">
        <v>0.3657849013</v>
      </c>
      <c r="S83" t="n">
        <v>0.3982795149</v>
      </c>
      <c r="T83" t="n">
        <v>0.3627663353</v>
      </c>
      <c r="U83" t="n">
        <v>0.3244624503</v>
      </c>
      <c r="V83" t="n">
        <v>0.2417358102</v>
      </c>
      <c r="W83" t="n">
        <v>0.2624674269</v>
      </c>
      <c r="X83" t="n">
        <v>0.142288245</v>
      </c>
      <c r="Y83" t="n">
        <v>0.1236152408</v>
      </c>
      <c r="Z83" t="n">
        <v>0.1354834274</v>
      </c>
      <c r="AA83" t="n">
        <v>0.3048463443</v>
      </c>
      <c r="AB83" t="n">
        <v>0.3340009232</v>
      </c>
      <c r="AC83" t="n">
        <v>0.4016866872</v>
      </c>
      <c r="AD83" t="n">
        <v>0.3538305201</v>
      </c>
      <c r="AE83" t="n">
        <v>0.3090376516</v>
      </c>
      <c r="AF83" t="n">
        <v>0.2326893467</v>
      </c>
      <c r="AG83" t="n">
        <v>0.2507534307</v>
      </c>
      <c r="AH83" t="n">
        <v>0.1695735746</v>
      </c>
      <c r="AI83" t="n">
        <v>0.1259234914</v>
      </c>
      <c r="AJ83" t="n">
        <v>0.1192517388</v>
      </c>
      <c r="AK83" t="n">
        <v>0.3619784782</v>
      </c>
      <c r="AL83" t="n">
        <v>0.3224283864</v>
      </c>
      <c r="AM83" t="n">
        <v>0.3960776787</v>
      </c>
      <c r="AN83" t="n">
        <v>0.3555931088</v>
      </c>
      <c r="AO83" t="n">
        <v>0.2680499051</v>
      </c>
      <c r="AP83" t="n">
        <v>0.2104715263</v>
      </c>
    </row>
    <row r="84">
      <c r="B84" t="n">
        <v>775</v>
      </c>
      <c r="C84" t="n">
        <v>0.1879014632</v>
      </c>
      <c r="D84" t="n">
        <v>0.1262593263</v>
      </c>
      <c r="E84" t="n">
        <v>0.1083505925</v>
      </c>
      <c r="F84" t="n">
        <v>0.1990434716</v>
      </c>
      <c r="G84" t="n">
        <v>0.2472696569</v>
      </c>
      <c r="H84" t="n">
        <v>0.3667330087</v>
      </c>
      <c r="I84" t="n">
        <v>0.3659148899</v>
      </c>
      <c r="J84" t="n">
        <v>0.3788487488</v>
      </c>
      <c r="K84" t="n">
        <v>0.3477393575</v>
      </c>
      <c r="L84" t="n">
        <v>0.2535269616</v>
      </c>
      <c r="M84" t="n">
        <v>0.2512693301</v>
      </c>
      <c r="N84" t="n">
        <v>0.13045129</v>
      </c>
      <c r="O84" t="n">
        <v>0.1056407211</v>
      </c>
      <c r="P84" t="n">
        <v>0.1656344273</v>
      </c>
      <c r="Q84" t="n">
        <v>0.2661687366</v>
      </c>
      <c r="R84" t="n">
        <v>0.3656902589</v>
      </c>
      <c r="S84" t="n">
        <v>0.3982947018</v>
      </c>
      <c r="T84" t="n">
        <v>0.362368613</v>
      </c>
      <c r="U84" t="n">
        <v>0.3241937737</v>
      </c>
      <c r="V84" t="n">
        <v>0.2411264019</v>
      </c>
      <c r="W84" t="n">
        <v>0.2773140821</v>
      </c>
      <c r="X84" t="n">
        <v>0.1439983319</v>
      </c>
      <c r="Y84" t="n">
        <v>0.1240265792</v>
      </c>
      <c r="Z84" t="n">
        <v>0.1397651732</v>
      </c>
      <c r="AA84" t="n">
        <v>0.3110644169</v>
      </c>
      <c r="AB84" t="n">
        <v>0.3333980219</v>
      </c>
      <c r="AC84" t="n">
        <v>0.4035662075</v>
      </c>
      <c r="AD84" t="n">
        <v>0.3546208255</v>
      </c>
      <c r="AE84" t="n">
        <v>0.3089716289</v>
      </c>
      <c r="AF84" t="n">
        <v>0.2326156367</v>
      </c>
      <c r="AG84" t="n">
        <v>0.2645274</v>
      </c>
      <c r="AH84" t="n">
        <v>0.1712809334</v>
      </c>
      <c r="AI84" t="n">
        <v>0.1280987788</v>
      </c>
      <c r="AJ84" t="n">
        <v>0.1230001946</v>
      </c>
      <c r="AK84" t="n">
        <v>0.3623971869</v>
      </c>
      <c r="AL84" t="n">
        <v>0.3238963217</v>
      </c>
      <c r="AM84" t="n">
        <v>0.3980780286</v>
      </c>
      <c r="AN84" t="n">
        <v>0.3564266834</v>
      </c>
      <c r="AO84" t="n">
        <v>0.2674061376</v>
      </c>
      <c r="AP84" t="n">
        <v>0.2123865353</v>
      </c>
    </row>
    <row r="85">
      <c r="B85" t="n">
        <v>780</v>
      </c>
      <c r="C85" t="n">
        <v>0.1918139434</v>
      </c>
      <c r="D85" t="n">
        <v>0.1272347417</v>
      </c>
      <c r="E85" t="n">
        <v>0.1126677837</v>
      </c>
      <c r="F85" t="n">
        <v>0.2049455822</v>
      </c>
      <c r="G85" t="n">
        <v>0.2580529023</v>
      </c>
      <c r="H85" t="n">
        <v>0.3667413751</v>
      </c>
      <c r="I85" t="n">
        <v>0.365932873</v>
      </c>
      <c r="J85" t="n">
        <v>0.379971475</v>
      </c>
      <c r="K85" t="n">
        <v>0.3482481733</v>
      </c>
      <c r="L85" t="n">
        <v>0.2538043897</v>
      </c>
      <c r="M85" t="n">
        <v>0.2581006044</v>
      </c>
      <c r="N85" t="n">
        <v>0.1331711744</v>
      </c>
      <c r="O85" t="n">
        <v>0.1104765251</v>
      </c>
      <c r="P85" t="n">
        <v>0.1719662778</v>
      </c>
      <c r="Q85" t="n">
        <v>0.2743964414</v>
      </c>
      <c r="R85" t="n">
        <v>0.3655754186</v>
      </c>
      <c r="S85" t="n">
        <v>0.3983098887</v>
      </c>
      <c r="T85" t="n">
        <v>0.3632491054</v>
      </c>
      <c r="U85" t="n">
        <v>0.3247868137</v>
      </c>
      <c r="V85" t="n">
        <v>0.2424770202</v>
      </c>
      <c r="W85" t="n">
        <v>0.2867995809</v>
      </c>
      <c r="X85" t="n">
        <v>0.145369018</v>
      </c>
      <c r="Y85" t="n">
        <v>0.1267522107</v>
      </c>
      <c r="Z85" t="n">
        <v>0.1460955896</v>
      </c>
      <c r="AA85" t="n">
        <v>0.3201446777</v>
      </c>
      <c r="AB85" t="n">
        <v>0.3320561698</v>
      </c>
      <c r="AC85" t="n">
        <v>0.4034681395</v>
      </c>
      <c r="AD85" t="n">
        <v>0.3554743444</v>
      </c>
      <c r="AE85" t="n">
        <v>0.3088642045</v>
      </c>
      <c r="AF85" t="n">
        <v>0.2328067101</v>
      </c>
      <c r="AG85" t="n">
        <v>0.2772802138</v>
      </c>
      <c r="AH85" t="n">
        <v>0.1732500421</v>
      </c>
      <c r="AI85" t="n">
        <v>0.1311773017</v>
      </c>
      <c r="AJ85" t="n">
        <v>0.1290146921</v>
      </c>
      <c r="AK85" t="n">
        <v>0.3629877391</v>
      </c>
      <c r="AL85" t="n">
        <v>0.3228163479</v>
      </c>
      <c r="AM85" t="n">
        <v>0.3989819858</v>
      </c>
      <c r="AN85" t="n">
        <v>0.3569408068</v>
      </c>
      <c r="AO85" t="n">
        <v>0.2663586759</v>
      </c>
      <c r="AP85" t="n">
        <v>0.2166256554</v>
      </c>
    </row>
    <row r="87">
      <c r="B87" t="inlineStr">
        <is>
          <t>ref p</t>
        </is>
      </c>
      <c r="C87" t="n">
        <v>-18.2867329249553</v>
      </c>
      <c r="D87" t="n">
        <v>-25.737469550389</v>
      </c>
      <c r="E87" t="n">
        <v>-26.7275132659381</v>
      </c>
      <c r="F87" t="n">
        <v>-14.5479430996472</v>
      </c>
      <c r="G87" t="n">
        <v>-2.15436054240197</v>
      </c>
      <c r="H87" t="n">
        <v>16.444593422535</v>
      </c>
      <c r="I87" t="n">
        <v>25.6161796946105</v>
      </c>
      <c r="J87" t="n">
        <v>26.6958163467286</v>
      </c>
      <c r="K87" t="n">
        <v>20.1343260257127</v>
      </c>
      <c r="L87" t="n">
        <v>3.02013052184855</v>
      </c>
      <c r="M87" t="n">
        <v>-14.6623180774311</v>
      </c>
      <c r="N87" t="n">
        <v>-24.4254106347003</v>
      </c>
      <c r="O87" t="n">
        <v>-27.1417749739357</v>
      </c>
      <c r="P87" t="n">
        <v>-18.3866227713477</v>
      </c>
      <c r="Q87" t="n">
        <v>2.46109054268964</v>
      </c>
      <c r="R87" t="n">
        <v>19.2781930357924</v>
      </c>
      <c r="S87" t="n">
        <v>26.6098137865274</v>
      </c>
      <c r="T87" t="n">
        <v>26.068301563397</v>
      </c>
      <c r="U87" t="n">
        <v>16.4247460217603</v>
      </c>
      <c r="V87" t="n">
        <v>-1.78142292711379</v>
      </c>
      <c r="W87" t="n">
        <v>-10.7501982718876</v>
      </c>
      <c r="X87" t="n">
        <v>-23.2073917786301</v>
      </c>
      <c r="Y87" t="n">
        <v>-26.9935104478596</v>
      </c>
      <c r="Z87" t="n">
        <v>-22.6269379883342</v>
      </c>
      <c r="AA87" t="n">
        <v>8.250854418195519</v>
      </c>
      <c r="AB87" t="n">
        <v>22.159519196287</v>
      </c>
      <c r="AC87" t="n">
        <v>27.027216216038</v>
      </c>
      <c r="AD87" t="n">
        <v>24.9609421959989</v>
      </c>
      <c r="AE87" t="n">
        <v>12.7969268380791</v>
      </c>
      <c r="AF87" t="n">
        <v>-6.27424687786418</v>
      </c>
      <c r="AG87" t="n">
        <v>-6.76378705058772</v>
      </c>
      <c r="AH87" t="n">
        <v>-20.862291877761</v>
      </c>
      <c r="AI87" t="n">
        <v>-26.4749116478634</v>
      </c>
      <c r="AJ87" t="n">
        <v>-24.9460931785178</v>
      </c>
      <c r="AK87" t="n">
        <v>13.2497206401597</v>
      </c>
      <c r="AL87" t="n">
        <v>24.180821577658</v>
      </c>
      <c r="AM87" t="n">
        <v>26.9634797360995</v>
      </c>
      <c r="AN87" t="n">
        <v>22.9903577188156</v>
      </c>
      <c r="AO87" t="n">
        <v>7.9935215153982</v>
      </c>
      <c r="AP87" t="n">
        <v>-10.193623940333</v>
      </c>
    </row>
    <row r="88">
      <c r="B88" t="inlineStr">
        <is>
          <t>ref t</t>
        </is>
      </c>
      <c r="C88" t="n">
        <v>-19.7726930206003</v>
      </c>
      <c r="D88" t="n">
        <v>-3.25920348738994</v>
      </c>
      <c r="E88" t="n">
        <v>9.35427673510776</v>
      </c>
      <c r="F88" t="n">
        <v>24.622563998741</v>
      </c>
      <c r="G88" t="n">
        <v>-27.2297416323247</v>
      </c>
      <c r="H88" t="n">
        <v>-21.1520108314349</v>
      </c>
      <c r="I88" t="n">
        <v>-4.38321199228921</v>
      </c>
      <c r="J88" t="n">
        <v>10.9827963046921</v>
      </c>
      <c r="K88" t="n">
        <v>21.8139061936787</v>
      </c>
      <c r="L88" t="n">
        <v>27.0054796173792</v>
      </c>
      <c r="M88" t="n">
        <v>-23.0722279684482</v>
      </c>
      <c r="N88" t="n">
        <v>-7.62964960191767</v>
      </c>
      <c r="O88" t="n">
        <v>5.52678311882423</v>
      </c>
      <c r="P88" t="n">
        <v>22.4502826850568</v>
      </c>
      <c r="Q88" t="n">
        <v>-27.1365387750169</v>
      </c>
      <c r="R88" t="n">
        <v>-17.7134675717388</v>
      </c>
      <c r="S88" t="n">
        <v>0.993671535473024</v>
      </c>
      <c r="T88" t="n">
        <v>13.9781042938539</v>
      </c>
      <c r="U88" t="n">
        <v>23.8841398947235</v>
      </c>
      <c r="V88" t="n">
        <v>27.1721409203559</v>
      </c>
      <c r="W88" t="n">
        <v>-25.2028821372298</v>
      </c>
      <c r="X88" t="n">
        <v>-11.4474827079725</v>
      </c>
      <c r="Y88" t="n">
        <v>2.68443975199083</v>
      </c>
      <c r="Z88" t="n">
        <v>18.6104923866598</v>
      </c>
      <c r="AA88" t="n">
        <v>-26.2135686979157</v>
      </c>
      <c r="AB88" t="n">
        <v>-13.1390191389748</v>
      </c>
      <c r="AC88" t="n">
        <v>4.82024909049277</v>
      </c>
      <c r="AD88" t="n">
        <v>16.6027863910241</v>
      </c>
      <c r="AE88" t="n">
        <v>25.2459263810563</v>
      </c>
      <c r="AF88" t="n">
        <v>26.9339025415446</v>
      </c>
      <c r="AG88" t="n">
        <v>-26.3786979426468</v>
      </c>
      <c r="AH88" t="n">
        <v>-16.16473260846</v>
      </c>
      <c r="AI88" t="n">
        <v>-0.236890076567233</v>
      </c>
      <c r="AJ88" t="n">
        <v>14.6732930607668</v>
      </c>
      <c r="AK88" t="n">
        <v>-24.2459720695028</v>
      </c>
      <c r="AL88" t="n">
        <v>-8.807018092535801</v>
      </c>
      <c r="AM88" t="n">
        <v>8.161810244782149</v>
      </c>
      <c r="AN88" t="n">
        <v>19.6854692580795</v>
      </c>
      <c r="AO88" t="n">
        <v>26.379399138514</v>
      </c>
      <c r="AP88" t="n">
        <v>26.2079842218159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CIE observers and illuminants, 380-780 nm at 5 nm (from the companion package).</t>
        </is>
      </c>
    </row>
    <row r="4">
      <c r="A4" t="inlineStr">
        <is>
          <t>nm</t>
        </is>
      </c>
      <c r="B4" s="3" t="inlineStr">
        <is>
          <t>CIE 1931 x</t>
        </is>
      </c>
      <c r="C4" s="3" t="inlineStr">
        <is>
          <t>CIE 1931 y</t>
        </is>
      </c>
      <c r="D4" s="3" t="inlineStr">
        <is>
          <t>CIE 1931 z</t>
        </is>
      </c>
      <c r="E4" s="3" t="inlineStr">
        <is>
          <t>CIE 1964 x</t>
        </is>
      </c>
      <c r="F4" s="3" t="inlineStr">
        <is>
          <t>CIE 1964 y</t>
        </is>
      </c>
      <c r="G4" s="3" t="inlineStr">
        <is>
          <t>CIE 1964 z</t>
        </is>
      </c>
      <c r="H4" s="3" t="inlineStr">
        <is>
          <t>CIE 2015 x</t>
        </is>
      </c>
      <c r="I4" s="3" t="inlineStr">
        <is>
          <t>CIE 2015 y</t>
        </is>
      </c>
      <c r="J4" s="3" t="inlineStr">
        <is>
          <t>CIE 2015 z</t>
        </is>
      </c>
      <c r="K4" s="3" t="inlineStr">
        <is>
          <t>A</t>
        </is>
      </c>
      <c r="L4" s="3" t="inlineStr">
        <is>
          <t>C</t>
        </is>
      </c>
      <c r="M4" s="3" t="inlineStr">
        <is>
          <t>D50</t>
        </is>
      </c>
      <c r="N4" s="3" t="inlineStr">
        <is>
          <t>D65</t>
        </is>
      </c>
      <c r="O4" s="3" t="inlineStr">
        <is>
          <t>E</t>
        </is>
      </c>
      <c r="P4" s="3" t="inlineStr">
        <is>
          <t>F2</t>
        </is>
      </c>
      <c r="Q4" s="3" t="inlineStr">
        <is>
          <t>F11</t>
        </is>
      </c>
    </row>
    <row r="5">
      <c r="A5" t="n">
        <v>380</v>
      </c>
      <c r="B5" t="n">
        <v>0.001368</v>
      </c>
      <c r="C5" t="n">
        <v>3.9e-05</v>
      </c>
      <c r="D5" t="n">
        <v>0.00645</v>
      </c>
      <c r="E5" t="n">
        <v>0.00016</v>
      </c>
      <c r="F5" t="n">
        <v>1.7e-05</v>
      </c>
      <c r="G5" t="n">
        <v>0.000705</v>
      </c>
      <c r="H5" t="n">
        <v>0</v>
      </c>
      <c r="I5" t="n">
        <v>0</v>
      </c>
      <c r="J5" t="n">
        <v>0</v>
      </c>
      <c r="K5" t="n">
        <v>9.7951</v>
      </c>
      <c r="L5" t="n">
        <v>33</v>
      </c>
      <c r="M5" t="n">
        <v>24.45714697</v>
      </c>
      <c r="N5" t="n">
        <v>49.9755</v>
      </c>
      <c r="O5" t="n">
        <v>100</v>
      </c>
      <c r="P5" t="n">
        <v>1.18</v>
      </c>
      <c r="Q5" t="n">
        <v>0.91</v>
      </c>
    </row>
    <row r="6">
      <c r="A6" t="n">
        <v>385</v>
      </c>
      <c r="B6" t="n">
        <v>0.002236</v>
      </c>
      <c r="C6" t="n">
        <v>6.4e-05</v>
      </c>
      <c r="D6" t="n">
        <v>0.01055</v>
      </c>
      <c r="E6" t="n">
        <v>0.000662</v>
      </c>
      <c r="F6" t="n">
        <v>7.2e-05</v>
      </c>
      <c r="G6" t="n">
        <v>0.002928</v>
      </c>
      <c r="H6" t="n">
        <v>0</v>
      </c>
      <c r="I6" t="n">
        <v>0</v>
      </c>
      <c r="J6" t="n">
        <v>0</v>
      </c>
      <c r="K6" t="n">
        <v>10.8996</v>
      </c>
      <c r="L6" t="n">
        <v>39.92</v>
      </c>
      <c r="M6" t="n">
        <v>27.1472803</v>
      </c>
      <c r="N6" t="n">
        <v>52.3118</v>
      </c>
      <c r="O6" t="n">
        <v>100</v>
      </c>
      <c r="P6" t="n">
        <v>1.48</v>
      </c>
      <c r="Q6" t="n">
        <v>0.63</v>
      </c>
    </row>
    <row r="7">
      <c r="A7" t="n">
        <v>390</v>
      </c>
      <c r="B7" t="n">
        <v>0.004243</v>
      </c>
      <c r="C7" t="n">
        <v>0.00012</v>
      </c>
      <c r="D7" t="n">
        <v>0.02005</v>
      </c>
      <c r="E7" t="n">
        <v>0.002362</v>
      </c>
      <c r="F7" t="n">
        <v>0.000253</v>
      </c>
      <c r="G7" t="n">
        <v>0.010482</v>
      </c>
      <c r="H7" t="n">
        <v>0.003769647</v>
      </c>
      <c r="I7" t="n">
        <v>0.0004146161</v>
      </c>
      <c r="J7" t="n">
        <v>0.0184726</v>
      </c>
      <c r="K7" t="n">
        <v>12.0853</v>
      </c>
      <c r="L7" t="n">
        <v>47.4</v>
      </c>
      <c r="M7" t="n">
        <v>29.83741363</v>
      </c>
      <c r="N7" t="n">
        <v>54.6482</v>
      </c>
      <c r="O7" t="n">
        <v>100</v>
      </c>
      <c r="P7" t="n">
        <v>1.84</v>
      </c>
      <c r="Q7" t="n">
        <v>0.46</v>
      </c>
    </row>
    <row r="8">
      <c r="A8" t="n">
        <v>395</v>
      </c>
      <c r="B8" t="n">
        <v>0.00765</v>
      </c>
      <c r="C8" t="n">
        <v>0.000217</v>
      </c>
      <c r="D8" t="n">
        <v>0.03621</v>
      </c>
      <c r="E8" t="n">
        <v>0.007242</v>
      </c>
      <c r="F8" t="n">
        <v>0.000769</v>
      </c>
      <c r="G8" t="n">
        <v>0.032344</v>
      </c>
      <c r="H8" t="n">
        <v>0.009382967000000001</v>
      </c>
      <c r="I8" t="n">
        <v>0.001059646</v>
      </c>
      <c r="J8" t="n">
        <v>0.04609784</v>
      </c>
      <c r="K8" t="n">
        <v>13.3543</v>
      </c>
      <c r="L8" t="n">
        <v>55.17</v>
      </c>
      <c r="M8" t="n">
        <v>39.54744278</v>
      </c>
      <c r="N8" t="n">
        <v>68.7015</v>
      </c>
      <c r="O8" t="n">
        <v>100</v>
      </c>
      <c r="P8" t="n">
        <v>2.15</v>
      </c>
      <c r="Q8" t="n">
        <v>0.37</v>
      </c>
    </row>
    <row r="9">
      <c r="A9" t="n">
        <v>400</v>
      </c>
      <c r="B9" t="n">
        <v>0.01431</v>
      </c>
      <c r="C9" t="n">
        <v>0.000396</v>
      </c>
      <c r="D9" t="n">
        <v>0.06784999999999999</v>
      </c>
      <c r="E9" t="n">
        <v>0.01911</v>
      </c>
      <c r="F9" t="n">
        <v>0.002004</v>
      </c>
      <c r="G9" t="n">
        <v>0.086011</v>
      </c>
      <c r="H9" t="n">
        <v>0.02214302</v>
      </c>
      <c r="I9" t="n">
        <v>0.002452194</v>
      </c>
      <c r="J9" t="n">
        <v>0.109609</v>
      </c>
      <c r="K9" t="n">
        <v>14.708</v>
      </c>
      <c r="L9" t="n">
        <v>63.3</v>
      </c>
      <c r="M9" t="n">
        <v>49.25747194</v>
      </c>
      <c r="N9" t="n">
        <v>82.75490000000001</v>
      </c>
      <c r="O9" t="n">
        <v>100</v>
      </c>
      <c r="P9" t="n">
        <v>3.44</v>
      </c>
      <c r="Q9" t="n">
        <v>1.29</v>
      </c>
    </row>
    <row r="10">
      <c r="A10" t="n">
        <v>405</v>
      </c>
      <c r="B10" t="n">
        <v>0.02319</v>
      </c>
      <c r="C10" t="n">
        <v>0.0006400000000000001</v>
      </c>
      <c r="D10" t="n">
        <v>0.1102</v>
      </c>
      <c r="E10" t="n">
        <v>0.0434</v>
      </c>
      <c r="F10" t="n">
        <v>0.004509</v>
      </c>
      <c r="G10" t="n">
        <v>0.19712</v>
      </c>
      <c r="H10" t="n">
        <v>0.04742986</v>
      </c>
      <c r="I10" t="n">
        <v>0.004971717</v>
      </c>
      <c r="J10" t="n">
        <v>0.2369246</v>
      </c>
      <c r="K10" t="n">
        <v>16.148</v>
      </c>
      <c r="L10" t="n">
        <v>71.81</v>
      </c>
      <c r="M10" t="n">
        <v>52.85936359</v>
      </c>
      <c r="N10" t="n">
        <v>87.1204</v>
      </c>
      <c r="O10" t="n">
        <v>100</v>
      </c>
      <c r="P10" t="n">
        <v>15.69</v>
      </c>
      <c r="Q10" t="n">
        <v>12.68</v>
      </c>
    </row>
    <row r="11">
      <c r="A11" t="n">
        <v>410</v>
      </c>
      <c r="B11" t="n">
        <v>0.04351</v>
      </c>
      <c r="C11" t="n">
        <v>0.00121</v>
      </c>
      <c r="D11" t="n">
        <v>0.2074</v>
      </c>
      <c r="E11" t="n">
        <v>0.08473600000000001</v>
      </c>
      <c r="F11" t="n">
        <v>0.008756</v>
      </c>
      <c r="G11" t="n">
        <v>0.389366</v>
      </c>
      <c r="H11" t="n">
        <v>0.08953803</v>
      </c>
      <c r="I11" t="n">
        <v>0.00907986</v>
      </c>
      <c r="J11" t="n">
        <v>0.4508369</v>
      </c>
      <c r="K11" t="n">
        <v>17.6753</v>
      </c>
      <c r="L11" t="n">
        <v>80.59999999999999</v>
      </c>
      <c r="M11" t="n">
        <v>56.46125524</v>
      </c>
      <c r="N11" t="n">
        <v>91.486</v>
      </c>
      <c r="O11" t="n">
        <v>100</v>
      </c>
      <c r="P11" t="n">
        <v>3.85</v>
      </c>
      <c r="Q11" t="n">
        <v>1.59</v>
      </c>
    </row>
    <row r="12">
      <c r="A12" t="n">
        <v>415</v>
      </c>
      <c r="B12" t="n">
        <v>0.07763</v>
      </c>
      <c r="C12" t="n">
        <v>0.00218</v>
      </c>
      <c r="D12" t="n">
        <v>0.3713</v>
      </c>
      <c r="E12" t="n">
        <v>0.140638</v>
      </c>
      <c r="F12" t="n">
        <v>0.014456</v>
      </c>
      <c r="G12" t="n">
        <v>0.65676</v>
      </c>
      <c r="H12" t="n">
        <v>0.1446214</v>
      </c>
      <c r="I12" t="n">
        <v>0.01429377</v>
      </c>
      <c r="J12" t="n">
        <v>0.7378822</v>
      </c>
      <c r="K12" t="n">
        <v>19.2907</v>
      </c>
      <c r="L12" t="n">
        <v>89.53</v>
      </c>
      <c r="M12" t="n">
        <v>58.22267753</v>
      </c>
      <c r="N12" t="n">
        <v>92.4589</v>
      </c>
      <c r="O12" t="n">
        <v>100</v>
      </c>
      <c r="P12" t="n">
        <v>3.74</v>
      </c>
      <c r="Q12" t="n">
        <v>1.79</v>
      </c>
    </row>
    <row r="13">
      <c r="A13" t="n">
        <v>420</v>
      </c>
      <c r="B13" t="n">
        <v>0.13438</v>
      </c>
      <c r="C13" t="n">
        <v>0.004</v>
      </c>
      <c r="D13" t="n">
        <v>0.6456</v>
      </c>
      <c r="E13" t="n">
        <v>0.204492</v>
      </c>
      <c r="F13" t="n">
        <v>0.021391</v>
      </c>
      <c r="G13" t="n">
        <v>0.972542</v>
      </c>
      <c r="H13" t="n">
        <v>0.2035729</v>
      </c>
      <c r="I13" t="n">
        <v>0.02027369</v>
      </c>
      <c r="J13" t="n">
        <v>1.051821</v>
      </c>
      <c r="K13" t="n">
        <v>20.995</v>
      </c>
      <c r="L13" t="n">
        <v>98.09999999999999</v>
      </c>
      <c r="M13" t="n">
        <v>59.98409982</v>
      </c>
      <c r="N13" t="n">
        <v>93.4318</v>
      </c>
      <c r="O13" t="n">
        <v>100</v>
      </c>
      <c r="P13" t="n">
        <v>4.19</v>
      </c>
      <c r="Q13" t="n">
        <v>2.46</v>
      </c>
    </row>
    <row r="14">
      <c r="A14" t="n">
        <v>425</v>
      </c>
      <c r="B14" t="n">
        <v>0.21477</v>
      </c>
      <c r="C14" t="n">
        <v>0.0073</v>
      </c>
      <c r="D14" t="n">
        <v>1.03905</v>
      </c>
      <c r="E14" t="n">
        <v>0.264737</v>
      </c>
      <c r="F14" t="n">
        <v>0.029497</v>
      </c>
      <c r="G14" t="n">
        <v>1.2825</v>
      </c>
      <c r="H14" t="n">
        <v>0.2488523</v>
      </c>
      <c r="I14" t="n">
        <v>0.02612106</v>
      </c>
      <c r="J14" t="n">
        <v>1.305008</v>
      </c>
      <c r="K14" t="n">
        <v>22.7883</v>
      </c>
      <c r="L14" t="n">
        <v>105.8</v>
      </c>
      <c r="M14" t="n">
        <v>58.87868504</v>
      </c>
      <c r="N14" t="n">
        <v>90.057</v>
      </c>
      <c r="O14" t="n">
        <v>100</v>
      </c>
      <c r="P14" t="n">
        <v>4.62</v>
      </c>
      <c r="Q14" t="n">
        <v>3.33</v>
      </c>
    </row>
    <row r="15">
      <c r="A15" t="n">
        <v>430</v>
      </c>
      <c r="B15" t="n">
        <v>0.2839</v>
      </c>
      <c r="C15" t="n">
        <v>0.0116</v>
      </c>
      <c r="D15" t="n">
        <v>1.3856</v>
      </c>
      <c r="E15" t="n">
        <v>0.314679</v>
      </c>
      <c r="F15" t="n">
        <v>0.038676</v>
      </c>
      <c r="G15" t="n">
        <v>1.55348</v>
      </c>
      <c r="H15" t="n">
        <v>0.2918246</v>
      </c>
      <c r="I15" t="n">
        <v>0.03319038</v>
      </c>
      <c r="J15" t="n">
        <v>1.552826</v>
      </c>
      <c r="K15" t="n">
        <v>24.6709</v>
      </c>
      <c r="L15" t="n">
        <v>112.4</v>
      </c>
      <c r="M15" t="n">
        <v>57.77327026</v>
      </c>
      <c r="N15" t="n">
        <v>86.6823</v>
      </c>
      <c r="O15" t="n">
        <v>100</v>
      </c>
      <c r="P15" t="n">
        <v>5.06</v>
      </c>
      <c r="Q15" t="n">
        <v>4.49</v>
      </c>
    </row>
    <row r="16">
      <c r="A16" t="n">
        <v>435</v>
      </c>
      <c r="B16" t="n">
        <v>0.3285</v>
      </c>
      <c r="C16" t="n">
        <v>0.01684</v>
      </c>
      <c r="D16" t="n">
        <v>1.62296</v>
      </c>
      <c r="E16" t="n">
        <v>0.357719</v>
      </c>
      <c r="F16" t="n">
        <v>0.049602</v>
      </c>
      <c r="G16" t="n">
        <v>1.7985</v>
      </c>
      <c r="H16" t="n">
        <v>0.3227087</v>
      </c>
      <c r="I16" t="n">
        <v>0.0415794</v>
      </c>
      <c r="J16" t="n">
        <v>1.74828</v>
      </c>
      <c r="K16" t="n">
        <v>26.6425</v>
      </c>
      <c r="L16" t="n">
        <v>117.75</v>
      </c>
      <c r="M16" t="n">
        <v>66.27462168</v>
      </c>
      <c r="N16" t="n">
        <v>95.7736</v>
      </c>
      <c r="O16" t="n">
        <v>100</v>
      </c>
      <c r="P16" t="n">
        <v>34.98</v>
      </c>
      <c r="Q16" t="n">
        <v>33.94</v>
      </c>
    </row>
    <row r="17">
      <c r="A17" t="n">
        <v>440</v>
      </c>
      <c r="B17" t="n">
        <v>0.34828</v>
      </c>
      <c r="C17" t="n">
        <v>0.023</v>
      </c>
      <c r="D17" t="n">
        <v>1.74706</v>
      </c>
      <c r="E17" t="n">
        <v>0.383734</v>
      </c>
      <c r="F17" t="n">
        <v>0.062077</v>
      </c>
      <c r="G17" t="n">
        <v>1.96728</v>
      </c>
      <c r="H17" t="n">
        <v>0.3482554</v>
      </c>
      <c r="I17" t="n">
        <v>0.05033657</v>
      </c>
      <c r="J17" t="n">
        <v>1.917479</v>
      </c>
      <c r="K17" t="n">
        <v>28.7027</v>
      </c>
      <c r="L17" t="n">
        <v>121.5</v>
      </c>
      <c r="M17" t="n">
        <v>74.77597311</v>
      </c>
      <c r="N17" t="n">
        <v>104.865</v>
      </c>
      <c r="O17" t="n">
        <v>100</v>
      </c>
      <c r="P17" t="n">
        <v>11.81</v>
      </c>
      <c r="Q17" t="n">
        <v>12.13</v>
      </c>
    </row>
    <row r="18">
      <c r="A18" t="n">
        <v>445</v>
      </c>
      <c r="B18" t="n">
        <v>0.34806</v>
      </c>
      <c r="C18" t="n">
        <v>0.0298</v>
      </c>
      <c r="D18" t="n">
        <v>1.7826</v>
      </c>
      <c r="E18" t="n">
        <v>0.386726</v>
      </c>
      <c r="F18" t="n">
        <v>0.07470400000000001</v>
      </c>
      <c r="G18" t="n">
        <v>2.0273</v>
      </c>
      <c r="H18" t="n">
        <v>0.3418483</v>
      </c>
      <c r="I18" t="n">
        <v>0.05743393</v>
      </c>
      <c r="J18" t="n">
        <v>1.918437</v>
      </c>
      <c r="K18" t="n">
        <v>30.8508</v>
      </c>
      <c r="L18" t="n">
        <v>123.45</v>
      </c>
      <c r="M18" t="n">
        <v>80.98700332</v>
      </c>
      <c r="N18" t="n">
        <v>110.936</v>
      </c>
      <c r="O18" t="n">
        <v>100</v>
      </c>
      <c r="P18" t="n">
        <v>6.27</v>
      </c>
      <c r="Q18" t="n">
        <v>6.95</v>
      </c>
    </row>
    <row r="19">
      <c r="A19" t="n">
        <v>450</v>
      </c>
      <c r="B19" t="n">
        <v>0.3362</v>
      </c>
      <c r="C19" t="n">
        <v>0.038</v>
      </c>
      <c r="D19" t="n">
        <v>1.77211</v>
      </c>
      <c r="E19" t="n">
        <v>0.370702</v>
      </c>
      <c r="F19" t="n">
        <v>0.08945599999999999</v>
      </c>
      <c r="G19" t="n">
        <v>1.9948</v>
      </c>
      <c r="H19" t="n">
        <v>0.3224637</v>
      </c>
      <c r="I19" t="n">
        <v>0.06472352000000001</v>
      </c>
      <c r="J19" t="n">
        <v>1.848545</v>
      </c>
      <c r="K19" t="n">
        <v>33.0859</v>
      </c>
      <c r="L19" t="n">
        <v>124</v>
      </c>
      <c r="M19" t="n">
        <v>87.19803353</v>
      </c>
      <c r="N19" t="n">
        <v>117.008</v>
      </c>
      <c r="O19" t="n">
        <v>100</v>
      </c>
      <c r="P19" t="n">
        <v>6.63</v>
      </c>
      <c r="Q19" t="n">
        <v>7.19</v>
      </c>
    </row>
    <row r="20">
      <c r="A20" t="n">
        <v>455</v>
      </c>
      <c r="B20" t="n">
        <v>0.3187</v>
      </c>
      <c r="C20" t="n">
        <v>0.048</v>
      </c>
      <c r="D20" t="n">
        <v>1.7441</v>
      </c>
      <c r="E20" t="n">
        <v>0.342957</v>
      </c>
      <c r="F20" t="n">
        <v>0.106256</v>
      </c>
      <c r="G20" t="n">
        <v>1.9007</v>
      </c>
      <c r="H20" t="n">
        <v>0.2826646</v>
      </c>
      <c r="I20" t="n">
        <v>0.07238339000000001</v>
      </c>
      <c r="J20" t="n">
        <v>1.664439</v>
      </c>
      <c r="K20" t="n">
        <v>35.4068</v>
      </c>
      <c r="L20" t="n">
        <v>123.6</v>
      </c>
      <c r="M20" t="n">
        <v>88.88248828</v>
      </c>
      <c r="N20" t="n">
        <v>117.41</v>
      </c>
      <c r="O20" t="n">
        <v>100</v>
      </c>
      <c r="P20" t="n">
        <v>6.93</v>
      </c>
      <c r="Q20" t="n">
        <v>7.12</v>
      </c>
    </row>
    <row r="21">
      <c r="A21" t="n">
        <v>460</v>
      </c>
      <c r="B21" t="n">
        <v>0.2908</v>
      </c>
      <c r="C21" t="n">
        <v>0.06</v>
      </c>
      <c r="D21" t="n">
        <v>1.6692</v>
      </c>
      <c r="E21" t="n">
        <v>0.302273</v>
      </c>
      <c r="F21" t="n">
        <v>0.128201</v>
      </c>
      <c r="G21" t="n">
        <v>1.74537</v>
      </c>
      <c r="H21" t="n">
        <v>0.2485254</v>
      </c>
      <c r="I21" t="n">
        <v>0.08514816</v>
      </c>
      <c r="J21" t="n">
        <v>1.522157</v>
      </c>
      <c r="K21" t="n">
        <v>37.8121</v>
      </c>
      <c r="L21" t="n">
        <v>123.1</v>
      </c>
      <c r="M21" t="n">
        <v>90.56694303</v>
      </c>
      <c r="N21" t="n">
        <v>117.812</v>
      </c>
      <c r="O21" t="n">
        <v>100</v>
      </c>
      <c r="P21" t="n">
        <v>7.19</v>
      </c>
      <c r="Q21" t="n">
        <v>6.72</v>
      </c>
    </row>
    <row r="22">
      <c r="A22" t="n">
        <v>465</v>
      </c>
      <c r="B22" t="n">
        <v>0.2511</v>
      </c>
      <c r="C22" t="n">
        <v>0.07389999999999999</v>
      </c>
      <c r="D22" t="n">
        <v>1.5281</v>
      </c>
      <c r="E22" t="n">
        <v>0.254085</v>
      </c>
      <c r="F22" t="n">
        <v>0.152761</v>
      </c>
      <c r="G22" t="n">
        <v>1.5549</v>
      </c>
      <c r="H22" t="n">
        <v>0.2219781</v>
      </c>
      <c r="I22" t="n">
        <v>0.1060145</v>
      </c>
      <c r="J22" t="n">
        <v>1.42844</v>
      </c>
      <c r="K22" t="n">
        <v>40.3002</v>
      </c>
      <c r="L22" t="n">
        <v>123.3</v>
      </c>
      <c r="M22" t="n">
        <v>90.94778248999999</v>
      </c>
      <c r="N22" t="n">
        <v>116.336</v>
      </c>
      <c r="O22" t="n">
        <v>100</v>
      </c>
      <c r="P22" t="n">
        <v>7.4</v>
      </c>
      <c r="Q22" t="n">
        <v>6.13</v>
      </c>
    </row>
    <row r="23">
      <c r="A23" t="n">
        <v>470</v>
      </c>
      <c r="B23" t="n">
        <v>0.19536</v>
      </c>
      <c r="C23" t="n">
        <v>0.09098000000000001</v>
      </c>
      <c r="D23" t="n">
        <v>1.28764</v>
      </c>
      <c r="E23" t="n">
        <v>0.195618</v>
      </c>
      <c r="F23" t="n">
        <v>0.18519</v>
      </c>
      <c r="G23" t="n">
        <v>1.31756</v>
      </c>
      <c r="H23" t="n">
        <v>0.1806905</v>
      </c>
      <c r="I23" t="n">
        <v>0.1298957</v>
      </c>
      <c r="J23" t="n">
        <v>1.25061</v>
      </c>
      <c r="K23" t="n">
        <v>42.8693</v>
      </c>
      <c r="L23" t="n">
        <v>123.8</v>
      </c>
      <c r="M23" t="n">
        <v>91.32862195</v>
      </c>
      <c r="N23" t="n">
        <v>114.861</v>
      </c>
      <c r="O23" t="n">
        <v>100</v>
      </c>
      <c r="P23" t="n">
        <v>7.54</v>
      </c>
      <c r="Q23" t="n">
        <v>5.46</v>
      </c>
    </row>
    <row r="24">
      <c r="A24" t="n">
        <v>475</v>
      </c>
      <c r="B24" t="n">
        <v>0.1421</v>
      </c>
      <c r="C24" t="n">
        <v>0.1126</v>
      </c>
      <c r="D24" t="n">
        <v>1.0419</v>
      </c>
      <c r="E24" t="n">
        <v>0.132349</v>
      </c>
      <c r="F24" t="n">
        <v>0.21994</v>
      </c>
      <c r="G24" t="n">
        <v>1.0302</v>
      </c>
      <c r="H24" t="n">
        <v>0.129192</v>
      </c>
      <c r="I24" t="n">
        <v>0.1535066</v>
      </c>
      <c r="J24" t="n">
        <v>0.9991789</v>
      </c>
      <c r="K24" t="n">
        <v>45.5174</v>
      </c>
      <c r="L24" t="n">
        <v>124.09</v>
      </c>
      <c r="M24" t="n">
        <v>93.20075466999999</v>
      </c>
      <c r="N24" t="n">
        <v>115.392</v>
      </c>
      <c r="O24" t="n">
        <v>100</v>
      </c>
      <c r="P24" t="n">
        <v>7.62</v>
      </c>
      <c r="Q24" t="n">
        <v>4.79</v>
      </c>
    </row>
    <row r="25">
      <c r="A25" t="n">
        <v>480</v>
      </c>
      <c r="B25" t="n">
        <v>0.09564</v>
      </c>
      <c r="C25" t="n">
        <v>0.13902</v>
      </c>
      <c r="D25" t="n">
        <v>0.81295</v>
      </c>
      <c r="E25" t="n">
        <v>0.080507</v>
      </c>
      <c r="F25" t="n">
        <v>0.253589</v>
      </c>
      <c r="G25" t="n">
        <v>0.772125</v>
      </c>
      <c r="H25" t="n">
        <v>0.08182895</v>
      </c>
      <c r="I25" t="n">
        <v>0.1788048</v>
      </c>
      <c r="J25" t="n">
        <v>0.7552379</v>
      </c>
      <c r="K25" t="n">
        <v>48.2423</v>
      </c>
      <c r="L25" t="n">
        <v>123.9</v>
      </c>
      <c r="M25" t="n">
        <v>95.07288739000001</v>
      </c>
      <c r="N25" t="n">
        <v>115.923</v>
      </c>
      <c r="O25" t="n">
        <v>100</v>
      </c>
      <c r="P25" t="n">
        <v>7.65</v>
      </c>
      <c r="Q25" t="n">
        <v>5.66</v>
      </c>
    </row>
    <row r="26">
      <c r="A26" t="n">
        <v>485</v>
      </c>
      <c r="B26" t="n">
        <v>0.05795</v>
      </c>
      <c r="C26" t="n">
        <v>0.1693</v>
      </c>
      <c r="D26" t="n">
        <v>0.6162</v>
      </c>
      <c r="E26" t="n">
        <v>0.041072</v>
      </c>
      <c r="F26" t="n">
        <v>0.297665</v>
      </c>
      <c r="G26" t="n">
        <v>0.57006</v>
      </c>
      <c r="H26" t="n">
        <v>0.04600865</v>
      </c>
      <c r="I26" t="n">
        <v>0.2064828</v>
      </c>
      <c r="J26" t="n">
        <v>0.5617313</v>
      </c>
      <c r="K26" t="n">
        <v>51.0418</v>
      </c>
      <c r="L26" t="n">
        <v>122.92</v>
      </c>
      <c r="M26" t="n">
        <v>93.50370698</v>
      </c>
      <c r="N26" t="n">
        <v>112.367</v>
      </c>
      <c r="O26" t="n">
        <v>100</v>
      </c>
      <c r="P26" t="n">
        <v>7.62</v>
      </c>
      <c r="Q26" t="n">
        <v>14.29</v>
      </c>
    </row>
    <row r="27">
      <c r="A27" t="n">
        <v>490</v>
      </c>
      <c r="B27" t="n">
        <v>0.03201</v>
      </c>
      <c r="C27" t="n">
        <v>0.20802</v>
      </c>
      <c r="D27" t="n">
        <v>0.46518</v>
      </c>
      <c r="E27" t="n">
        <v>0.016172</v>
      </c>
      <c r="F27" t="n">
        <v>0.339133</v>
      </c>
      <c r="G27" t="n">
        <v>0.415254</v>
      </c>
      <c r="H27" t="n">
        <v>0.02083981</v>
      </c>
      <c r="I27" t="n">
        <v>0.237916</v>
      </c>
      <c r="J27" t="n">
        <v>0.4099313</v>
      </c>
      <c r="K27" t="n">
        <v>53.9132</v>
      </c>
      <c r="L27" t="n">
        <v>120.7</v>
      </c>
      <c r="M27" t="n">
        <v>91.93452658</v>
      </c>
      <c r="N27" t="n">
        <v>108.811</v>
      </c>
      <c r="O27" t="n">
        <v>100</v>
      </c>
      <c r="P27" t="n">
        <v>7.62</v>
      </c>
      <c r="Q27" t="n">
        <v>14.96</v>
      </c>
    </row>
    <row r="28">
      <c r="A28" t="n">
        <v>495</v>
      </c>
      <c r="B28" t="n">
        <v>0.0147</v>
      </c>
      <c r="C28" t="n">
        <v>0.2586</v>
      </c>
      <c r="D28" t="n">
        <v>0.3533</v>
      </c>
      <c r="E28" t="n">
        <v>0.005132</v>
      </c>
      <c r="F28" t="n">
        <v>0.395379</v>
      </c>
      <c r="G28" t="n">
        <v>0.302356</v>
      </c>
      <c r="H28" t="n">
        <v>0.007097731</v>
      </c>
      <c r="I28" t="n">
        <v>0.285068</v>
      </c>
      <c r="J28" t="n">
        <v>0.3105939</v>
      </c>
      <c r="K28" t="n">
        <v>56.8539</v>
      </c>
      <c r="L28" t="n">
        <v>116.9</v>
      </c>
      <c r="M28" t="n">
        <v>93.81766964000001</v>
      </c>
      <c r="N28" t="n">
        <v>109.082</v>
      </c>
      <c r="O28" t="n">
        <v>100</v>
      </c>
      <c r="P28" t="n">
        <v>7.45</v>
      </c>
      <c r="Q28" t="n">
        <v>8.970000000000001</v>
      </c>
    </row>
    <row r="29">
      <c r="A29" t="n">
        <v>500</v>
      </c>
      <c r="B29" t="n">
        <v>0.0049</v>
      </c>
      <c r="C29" t="n">
        <v>0.323</v>
      </c>
      <c r="D29" t="n">
        <v>0.272</v>
      </c>
      <c r="E29" t="n">
        <v>0.003816</v>
      </c>
      <c r="F29" t="n">
        <v>0.460777</v>
      </c>
      <c r="G29" t="n">
        <v>0.218502</v>
      </c>
      <c r="H29" t="n">
        <v>0.002461588</v>
      </c>
      <c r="I29" t="n">
        <v>0.3483536</v>
      </c>
      <c r="J29" t="n">
        <v>0.2376753</v>
      </c>
      <c r="K29" t="n">
        <v>59.8611</v>
      </c>
      <c r="L29" t="n">
        <v>112.1</v>
      </c>
      <c r="M29" t="n">
        <v>95.7008127</v>
      </c>
      <c r="N29" t="n">
        <v>109.354</v>
      </c>
      <c r="O29" t="n">
        <v>100</v>
      </c>
      <c r="P29" t="n">
        <v>7.28</v>
      </c>
      <c r="Q29" t="n">
        <v>4.72</v>
      </c>
    </row>
    <row r="30">
      <c r="A30" t="n">
        <v>505</v>
      </c>
      <c r="B30" t="n">
        <v>0.0024</v>
      </c>
      <c r="C30" t="n">
        <v>0.4073</v>
      </c>
      <c r="D30" t="n">
        <v>0.2123</v>
      </c>
      <c r="E30" t="n">
        <v>0.015444</v>
      </c>
      <c r="F30" t="n">
        <v>0.5313600000000001</v>
      </c>
      <c r="G30" t="n">
        <v>0.159249</v>
      </c>
      <c r="H30" t="n">
        <v>0.003649178</v>
      </c>
      <c r="I30" t="n">
        <v>0.4277595</v>
      </c>
      <c r="J30" t="n">
        <v>0.1720018</v>
      </c>
      <c r="K30" t="n">
        <v>62.932</v>
      </c>
      <c r="L30" t="n">
        <v>106.98</v>
      </c>
      <c r="M30" t="n">
        <v>96.14758949</v>
      </c>
      <c r="N30" t="n">
        <v>108.578</v>
      </c>
      <c r="O30" t="n">
        <v>100</v>
      </c>
      <c r="P30" t="n">
        <v>7.15</v>
      </c>
      <c r="Q30" t="n">
        <v>2.33</v>
      </c>
    </row>
    <row r="31">
      <c r="A31" t="n">
        <v>510</v>
      </c>
      <c r="B31" t="n">
        <v>0.009299999999999999</v>
      </c>
      <c r="C31" t="n">
        <v>0.503</v>
      </c>
      <c r="D31" t="n">
        <v>0.1582</v>
      </c>
      <c r="E31" t="n">
        <v>0.037465</v>
      </c>
      <c r="F31" t="n">
        <v>0.606741</v>
      </c>
      <c r="G31" t="n">
        <v>0.112044</v>
      </c>
      <c r="H31" t="n">
        <v>0.01556989</v>
      </c>
      <c r="I31" t="n">
        <v>0.5204972</v>
      </c>
      <c r="J31" t="n">
        <v>0.1176796</v>
      </c>
      <c r="K31" t="n">
        <v>66.0635</v>
      </c>
      <c r="L31" t="n">
        <v>102.3</v>
      </c>
      <c r="M31" t="n">
        <v>96.59436628</v>
      </c>
      <c r="N31" t="n">
        <v>107.802</v>
      </c>
      <c r="O31" t="n">
        <v>100</v>
      </c>
      <c r="P31" t="n">
        <v>7.05</v>
      </c>
      <c r="Q31" t="n">
        <v>1.47</v>
      </c>
    </row>
    <row r="32">
      <c r="A32" t="n">
        <v>515</v>
      </c>
      <c r="B32" t="n">
        <v>0.0291</v>
      </c>
      <c r="C32" t="n">
        <v>0.6082</v>
      </c>
      <c r="D32" t="n">
        <v>0.1117</v>
      </c>
      <c r="E32" t="n">
        <v>0.071358</v>
      </c>
      <c r="F32" t="n">
        <v>0.68566</v>
      </c>
      <c r="G32" t="n">
        <v>0.082248</v>
      </c>
      <c r="H32" t="n">
        <v>0.04315171</v>
      </c>
      <c r="I32" t="n">
        <v>0.6206256</v>
      </c>
      <c r="J32" t="n">
        <v>0.08283548</v>
      </c>
      <c r="K32" t="n">
        <v>69.2525</v>
      </c>
      <c r="L32" t="n">
        <v>98.81</v>
      </c>
      <c r="M32" t="n">
        <v>96.85486896</v>
      </c>
      <c r="N32" t="n">
        <v>106.296</v>
      </c>
      <c r="O32" t="n">
        <v>100</v>
      </c>
      <c r="P32" t="n">
        <v>7.04</v>
      </c>
      <c r="Q32" t="n">
        <v>1.1</v>
      </c>
    </row>
    <row r="33">
      <c r="A33" t="n">
        <v>520</v>
      </c>
      <c r="B33" t="n">
        <v>0.06327000000000001</v>
      </c>
      <c r="C33" t="n">
        <v>0.71</v>
      </c>
      <c r="D33" t="n">
        <v>0.07825</v>
      </c>
      <c r="E33" t="n">
        <v>0.117749</v>
      </c>
      <c r="F33" t="n">
        <v>0.761757</v>
      </c>
      <c r="G33" t="n">
        <v>0.060709</v>
      </c>
      <c r="H33" t="n">
        <v>0.07962917</v>
      </c>
      <c r="I33" t="n">
        <v>0.718089</v>
      </c>
      <c r="J33" t="n">
        <v>0.05650407</v>
      </c>
      <c r="K33" t="n">
        <v>72.49590000000001</v>
      </c>
      <c r="L33" t="n">
        <v>96.90000000000001</v>
      </c>
      <c r="M33" t="n">
        <v>97.11537163</v>
      </c>
      <c r="N33" t="n">
        <v>104.79</v>
      </c>
      <c r="O33" t="n">
        <v>100</v>
      </c>
      <c r="P33" t="n">
        <v>7.16</v>
      </c>
      <c r="Q33" t="n">
        <v>0.89</v>
      </c>
    </row>
    <row r="34">
      <c r="A34" t="n">
        <v>525</v>
      </c>
      <c r="B34" t="n">
        <v>0.1096</v>
      </c>
      <c r="C34" t="n">
        <v>0.7932</v>
      </c>
      <c r="D34" t="n">
        <v>0.05725</v>
      </c>
      <c r="E34" t="n">
        <v>0.172953</v>
      </c>
      <c r="F34" t="n">
        <v>0.82333</v>
      </c>
      <c r="G34" t="n">
        <v>0.04305</v>
      </c>
      <c r="H34" t="n">
        <v>0.1268467</v>
      </c>
      <c r="I34" t="n">
        <v>0.7946448</v>
      </c>
      <c r="J34" t="n">
        <v>0.03751912</v>
      </c>
      <c r="K34" t="n">
        <v>75.7903</v>
      </c>
      <c r="L34" t="n">
        <v>96.78</v>
      </c>
      <c r="M34" t="n">
        <v>99.60212998999999</v>
      </c>
      <c r="N34" t="n">
        <v>106.239</v>
      </c>
      <c r="O34" t="n">
        <v>100</v>
      </c>
      <c r="P34" t="n">
        <v>7.47</v>
      </c>
      <c r="Q34" t="n">
        <v>0.83</v>
      </c>
    </row>
    <row r="35">
      <c r="A35" t="n">
        <v>530</v>
      </c>
      <c r="B35" t="n">
        <v>0.1655</v>
      </c>
      <c r="C35" t="n">
        <v>0.862</v>
      </c>
      <c r="D35" t="n">
        <v>0.04216</v>
      </c>
      <c r="E35" t="n">
        <v>0.236491</v>
      </c>
      <c r="F35" t="n">
        <v>0.875211</v>
      </c>
      <c r="G35" t="n">
        <v>0.030451</v>
      </c>
      <c r="H35" t="n">
        <v>0.1818026</v>
      </c>
      <c r="I35" t="n">
        <v>0.8575799</v>
      </c>
      <c r="J35" t="n">
        <v>0.02438164</v>
      </c>
      <c r="K35" t="n">
        <v>79.1326</v>
      </c>
      <c r="L35" t="n">
        <v>98</v>
      </c>
      <c r="M35" t="n">
        <v>102.0888883</v>
      </c>
      <c r="N35" t="n">
        <v>107.689</v>
      </c>
      <c r="O35" t="n">
        <v>100</v>
      </c>
      <c r="P35" t="n">
        <v>8.039999999999999</v>
      </c>
      <c r="Q35" t="n">
        <v>1.18</v>
      </c>
    </row>
    <row r="36">
      <c r="A36" t="n">
        <v>535</v>
      </c>
      <c r="B36" t="n">
        <v>0.22575</v>
      </c>
      <c r="C36" t="n">
        <v>0.9148500000000001</v>
      </c>
      <c r="D36" t="n">
        <v>0.02984</v>
      </c>
      <c r="E36" t="n">
        <v>0.304213</v>
      </c>
      <c r="F36" t="n">
        <v>0.92381</v>
      </c>
      <c r="G36" t="n">
        <v>0.020584</v>
      </c>
      <c r="H36" t="n">
        <v>0.2405015</v>
      </c>
      <c r="I36" t="n">
        <v>0.9071347</v>
      </c>
      <c r="J36" t="n">
        <v>0.01566174</v>
      </c>
      <c r="K36" t="n">
        <v>82.5193</v>
      </c>
      <c r="L36" t="n">
        <v>99.94</v>
      </c>
      <c r="M36" t="n">
        <v>101.4186239</v>
      </c>
      <c r="N36" t="n">
        <v>106.047</v>
      </c>
      <c r="O36" t="n">
        <v>100</v>
      </c>
      <c r="P36" t="n">
        <v>8.880000000000001</v>
      </c>
      <c r="Q36" t="n">
        <v>4.9</v>
      </c>
    </row>
    <row r="37">
      <c r="A37" t="n">
        <v>540</v>
      </c>
      <c r="B37" t="n">
        <v>0.2904</v>
      </c>
      <c r="C37" t="n">
        <v>0.954</v>
      </c>
      <c r="D37" t="n">
        <v>0.0203</v>
      </c>
      <c r="E37" t="n">
        <v>0.376772</v>
      </c>
      <c r="F37" t="n">
        <v>0.961988</v>
      </c>
      <c r="G37" t="n">
        <v>0.013676</v>
      </c>
      <c r="H37" t="n">
        <v>0.3098117</v>
      </c>
      <c r="I37" t="n">
        <v>0.9544675</v>
      </c>
      <c r="J37" t="n">
        <v>0.00984647</v>
      </c>
      <c r="K37" t="n">
        <v>85.947</v>
      </c>
      <c r="L37" t="n">
        <v>102.1</v>
      </c>
      <c r="M37" t="n">
        <v>100.7483594</v>
      </c>
      <c r="N37" t="n">
        <v>104.405</v>
      </c>
      <c r="O37" t="n">
        <v>100</v>
      </c>
      <c r="P37" t="n">
        <v>10.01</v>
      </c>
      <c r="Q37" t="n">
        <v>39.59</v>
      </c>
    </row>
    <row r="38">
      <c r="A38" t="n">
        <v>545</v>
      </c>
      <c r="B38" t="n">
        <v>0.3597</v>
      </c>
      <c r="C38" t="n">
        <v>0.9802999999999999</v>
      </c>
      <c r="D38" t="n">
        <v>0.0134</v>
      </c>
      <c r="E38" t="n">
        <v>0.451584</v>
      </c>
      <c r="F38" t="n">
        <v>0.9822</v>
      </c>
      <c r="G38" t="n">
        <v>0.007918</v>
      </c>
      <c r="H38" t="n">
        <v>0.3804244</v>
      </c>
      <c r="I38" t="n">
        <v>0.9814106</v>
      </c>
      <c r="J38" t="n">
        <v>0.006131421</v>
      </c>
      <c r="K38" t="n">
        <v>89.41240000000001</v>
      </c>
      <c r="L38" t="n">
        <v>103.95</v>
      </c>
      <c r="M38" t="n">
        <v>101.5311104</v>
      </c>
      <c r="N38" t="n">
        <v>104.225</v>
      </c>
      <c r="O38" t="n">
        <v>100</v>
      </c>
      <c r="P38" t="n">
        <v>24.88</v>
      </c>
      <c r="Q38" t="n">
        <v>72.84</v>
      </c>
    </row>
    <row r="39">
      <c r="A39" t="n">
        <v>550</v>
      </c>
      <c r="B39" t="n">
        <v>0.43345</v>
      </c>
      <c r="C39" t="n">
        <v>0.99495</v>
      </c>
      <c r="D39" t="n">
        <v>0.008750000000000001</v>
      </c>
      <c r="E39" t="n">
        <v>0.529826</v>
      </c>
      <c r="F39" t="n">
        <v>0.991761</v>
      </c>
      <c r="G39" t="n">
        <v>0.003988</v>
      </c>
      <c r="H39" t="n">
        <v>0.4494206</v>
      </c>
      <c r="I39" t="n">
        <v>0.9890228</v>
      </c>
      <c r="J39" t="n">
        <v>0.003790291</v>
      </c>
      <c r="K39" t="n">
        <v>92.91200000000001</v>
      </c>
      <c r="L39" t="n">
        <v>105.2</v>
      </c>
      <c r="M39" t="n">
        <v>102.3138613</v>
      </c>
      <c r="N39" t="n">
        <v>104.046</v>
      </c>
      <c r="O39" t="n">
        <v>100</v>
      </c>
      <c r="P39" t="n">
        <v>16.64</v>
      </c>
      <c r="Q39" t="n">
        <v>32.61</v>
      </c>
    </row>
    <row r="40">
      <c r="A40" t="n">
        <v>555</v>
      </c>
      <c r="B40" t="n">
        <v>0.51205</v>
      </c>
      <c r="C40" t="n">
        <v>1</v>
      </c>
      <c r="D40" t="n">
        <v>0.00575</v>
      </c>
      <c r="E40" t="n">
        <v>0.616053</v>
      </c>
      <c r="F40" t="n">
        <v>0.9991100000000001</v>
      </c>
      <c r="G40" t="n">
        <v>0.001091</v>
      </c>
      <c r="H40" t="n">
        <v>0.5280233</v>
      </c>
      <c r="I40" t="n">
        <v>0.9994608</v>
      </c>
      <c r="J40" t="n">
        <v>0.002327186</v>
      </c>
      <c r="K40" t="n">
        <v>96.4423</v>
      </c>
      <c r="L40" t="n">
        <v>105.67</v>
      </c>
      <c r="M40" t="n">
        <v>101.1569307</v>
      </c>
      <c r="N40" t="n">
        <v>102.023</v>
      </c>
      <c r="O40" t="n">
        <v>100</v>
      </c>
      <c r="P40" t="n">
        <v>14.59</v>
      </c>
      <c r="Q40" t="n">
        <v>7.52</v>
      </c>
    </row>
    <row r="41">
      <c r="A41" t="n">
        <v>560</v>
      </c>
      <c r="B41" t="n">
        <v>0.5945</v>
      </c>
      <c r="C41" t="n">
        <v>0.995</v>
      </c>
      <c r="D41" t="n">
        <v>0.0039</v>
      </c>
      <c r="E41" t="n">
        <v>0.705224</v>
      </c>
      <c r="F41" t="n">
        <v>0.99734</v>
      </c>
      <c r="G41" t="n">
        <v>0</v>
      </c>
      <c r="H41" t="n">
        <v>0.6133784</v>
      </c>
      <c r="I41" t="n">
        <v>0.9967737</v>
      </c>
      <c r="J41" t="n">
        <v>0.001432128</v>
      </c>
      <c r="K41" t="n">
        <v>100</v>
      </c>
      <c r="L41" t="n">
        <v>105.3</v>
      </c>
      <c r="M41" t="n">
        <v>100</v>
      </c>
      <c r="N41" t="n">
        <v>100</v>
      </c>
      <c r="O41" t="n">
        <v>100</v>
      </c>
      <c r="P41" t="n">
        <v>16.16</v>
      </c>
      <c r="Q41" t="n">
        <v>2.83</v>
      </c>
    </row>
    <row r="42">
      <c r="A42" t="n">
        <v>565</v>
      </c>
      <c r="B42" t="n">
        <v>0.6784</v>
      </c>
      <c r="C42" t="n">
        <v>0.9786</v>
      </c>
      <c r="D42" t="n">
        <v>0.00275</v>
      </c>
      <c r="E42" t="n">
        <v>0.793832</v>
      </c>
      <c r="F42" t="n">
        <v>0.98238</v>
      </c>
      <c r="G42" t="n">
        <v>0</v>
      </c>
      <c r="H42" t="n">
        <v>0.7016774</v>
      </c>
      <c r="I42" t="n">
        <v>0.9902549</v>
      </c>
      <c r="J42" t="n">
        <v>0.0008822531</v>
      </c>
      <c r="K42" t="n">
        <v>103.582</v>
      </c>
      <c r="L42" t="n">
        <v>104.11</v>
      </c>
      <c r="M42" t="n">
        <v>98.86872517</v>
      </c>
      <c r="N42" t="n">
        <v>98.1671</v>
      </c>
      <c r="O42" t="n">
        <v>100</v>
      </c>
      <c r="P42" t="n">
        <v>17.56</v>
      </c>
      <c r="Q42" t="n">
        <v>1.96</v>
      </c>
    </row>
    <row r="43">
      <c r="A43" t="n">
        <v>570</v>
      </c>
      <c r="B43" t="n">
        <v>0.7621</v>
      </c>
      <c r="C43" t="n">
        <v>0.952</v>
      </c>
      <c r="D43" t="n">
        <v>0.0021</v>
      </c>
      <c r="E43" t="n">
        <v>0.878655</v>
      </c>
      <c r="F43" t="n">
        <v>0.955552</v>
      </c>
      <c r="G43" t="n">
        <v>0</v>
      </c>
      <c r="H43" t="n">
        <v>0.796775</v>
      </c>
      <c r="I43" t="n">
        <v>0.9732611</v>
      </c>
      <c r="J43" t="n">
        <v>0.0005452416</v>
      </c>
      <c r="K43" t="n">
        <v>107.184</v>
      </c>
      <c r="L43" t="n">
        <v>102.3</v>
      </c>
      <c r="M43" t="n">
        <v>97.73745035</v>
      </c>
      <c r="N43" t="n">
        <v>96.3342</v>
      </c>
      <c r="O43" t="n">
        <v>100</v>
      </c>
      <c r="P43" t="n">
        <v>18.62</v>
      </c>
      <c r="Q43" t="n">
        <v>1.67</v>
      </c>
    </row>
    <row r="44">
      <c r="A44" t="n">
        <v>575</v>
      </c>
      <c r="B44" t="n">
        <v>0.8425</v>
      </c>
      <c r="C44" t="n">
        <v>0.9154</v>
      </c>
      <c r="D44" t="n">
        <v>0.0018</v>
      </c>
      <c r="E44" t="n">
        <v>0.951162</v>
      </c>
      <c r="F44" t="n">
        <v>0.915175</v>
      </c>
      <c r="G44" t="n">
        <v>0</v>
      </c>
      <c r="H44" t="n">
        <v>0.8853375999999999</v>
      </c>
      <c r="I44" t="n">
        <v>0.9424569</v>
      </c>
      <c r="J44" t="n">
        <v>0.0003386739</v>
      </c>
      <c r="K44" t="n">
        <v>110.803</v>
      </c>
      <c r="L44" t="n">
        <v>100.15</v>
      </c>
      <c r="M44" t="n">
        <v>98.33051967999999</v>
      </c>
      <c r="N44" t="n">
        <v>96.0611</v>
      </c>
      <c r="O44" t="n">
        <v>100</v>
      </c>
      <c r="P44" t="n">
        <v>21.47</v>
      </c>
      <c r="Q44" t="n">
        <v>4.43</v>
      </c>
    </row>
    <row r="45">
      <c r="A45" t="n">
        <v>580</v>
      </c>
      <c r="B45" t="n">
        <v>0.9163</v>
      </c>
      <c r="C45" t="n">
        <v>0.87</v>
      </c>
      <c r="D45" t="n">
        <v>0.00165</v>
      </c>
      <c r="E45" t="n">
        <v>1.01416</v>
      </c>
      <c r="F45" t="n">
        <v>0.868934</v>
      </c>
      <c r="G45" t="n">
        <v>0</v>
      </c>
      <c r="H45" t="n">
        <v>0.9638388</v>
      </c>
      <c r="I45" t="n">
        <v>0.8963613</v>
      </c>
      <c r="J45" t="n">
        <v>0.0002117772</v>
      </c>
      <c r="K45" t="n">
        <v>114.436</v>
      </c>
      <c r="L45" t="n">
        <v>97.8</v>
      </c>
      <c r="M45" t="n">
        <v>98.92358901</v>
      </c>
      <c r="N45" t="n">
        <v>95.788</v>
      </c>
      <c r="O45" t="n">
        <v>100</v>
      </c>
      <c r="P45" t="n">
        <v>22.79</v>
      </c>
      <c r="Q45" t="n">
        <v>11.28</v>
      </c>
    </row>
    <row r="46">
      <c r="A46" t="n">
        <v>585</v>
      </c>
      <c r="B46" t="n">
        <v>0.9786</v>
      </c>
      <c r="C46" t="n">
        <v>0.8163</v>
      </c>
      <c r="D46" t="n">
        <v>0.0014</v>
      </c>
      <c r="E46" t="n">
        <v>1.0743</v>
      </c>
      <c r="F46" t="n">
        <v>0.825623</v>
      </c>
      <c r="G46" t="n">
        <v>0</v>
      </c>
      <c r="H46" t="n">
        <v>1.051011</v>
      </c>
      <c r="I46" t="n">
        <v>0.8587203</v>
      </c>
      <c r="J46" t="n">
        <v>0.0001335031</v>
      </c>
      <c r="K46" t="n">
        <v>118.08</v>
      </c>
      <c r="L46" t="n">
        <v>95.43000000000001</v>
      </c>
      <c r="M46" t="n">
        <v>96.21691851999999</v>
      </c>
      <c r="N46" t="n">
        <v>92.2368</v>
      </c>
      <c r="O46" t="n">
        <v>100</v>
      </c>
      <c r="P46" t="n">
        <v>19.29</v>
      </c>
      <c r="Q46" t="n">
        <v>14.76</v>
      </c>
    </row>
    <row r="47">
      <c r="A47" t="n">
        <v>590</v>
      </c>
      <c r="B47" t="n">
        <v>1.0263</v>
      </c>
      <c r="C47" t="n">
        <v>0.757</v>
      </c>
      <c r="D47" t="n">
        <v>0.0011</v>
      </c>
      <c r="E47" t="n">
        <v>1.11852</v>
      </c>
      <c r="F47" t="n">
        <v>0.777405</v>
      </c>
      <c r="G47" t="n">
        <v>0</v>
      </c>
      <c r="H47" t="n">
        <v>1.109767</v>
      </c>
      <c r="I47" t="n">
        <v>0.8115868000000001</v>
      </c>
      <c r="J47" t="n">
        <v>8.494468e-05</v>
      </c>
      <c r="K47" t="n">
        <v>121.731</v>
      </c>
      <c r="L47" t="n">
        <v>93.2</v>
      </c>
      <c r="M47" t="n">
        <v>93.51024803</v>
      </c>
      <c r="N47" t="n">
        <v>88.68559999999999</v>
      </c>
      <c r="O47" t="n">
        <v>100</v>
      </c>
      <c r="P47" t="n">
        <v>18.66</v>
      </c>
      <c r="Q47" t="n">
        <v>12.73</v>
      </c>
    </row>
    <row r="48">
      <c r="A48" t="n">
        <v>595</v>
      </c>
      <c r="B48" t="n">
        <v>1.0567</v>
      </c>
      <c r="C48" t="n">
        <v>0.6949</v>
      </c>
      <c r="D48" t="n">
        <v>0.001</v>
      </c>
      <c r="E48" t="n">
        <v>1.1343</v>
      </c>
      <c r="F48" t="n">
        <v>0.720353</v>
      </c>
      <c r="G48" t="n">
        <v>0</v>
      </c>
      <c r="H48" t="n">
        <v>1.14362</v>
      </c>
      <c r="I48" t="n">
        <v>0.7544785000000001</v>
      </c>
      <c r="J48" t="n">
        <v>5.460706e-05</v>
      </c>
      <c r="K48" t="n">
        <v>125.386</v>
      </c>
      <c r="L48" t="n">
        <v>91.22</v>
      </c>
      <c r="M48" t="n">
        <v>95.60799686</v>
      </c>
      <c r="N48" t="n">
        <v>89.3459</v>
      </c>
      <c r="O48" t="n">
        <v>100</v>
      </c>
      <c r="P48" t="n">
        <v>17.73</v>
      </c>
      <c r="Q48" t="n">
        <v>9.74</v>
      </c>
    </row>
    <row r="49">
      <c r="A49" t="n">
        <v>600</v>
      </c>
      <c r="B49" t="n">
        <v>1.0622</v>
      </c>
      <c r="C49" t="n">
        <v>0.631</v>
      </c>
      <c r="D49" t="n">
        <v>0.0008</v>
      </c>
      <c r="E49" t="n">
        <v>1.12399</v>
      </c>
      <c r="F49" t="n">
        <v>0.658341</v>
      </c>
      <c r="G49" t="n">
        <v>0</v>
      </c>
      <c r="H49" t="n">
        <v>1.151033</v>
      </c>
      <c r="I49" t="n">
        <v>0.6918553</v>
      </c>
      <c r="J49" t="n">
        <v>3.549661e-05</v>
      </c>
      <c r="K49" t="n">
        <v>129.043</v>
      </c>
      <c r="L49" t="n">
        <v>89.7</v>
      </c>
      <c r="M49" t="n">
        <v>97.70574569</v>
      </c>
      <c r="N49" t="n">
        <v>90.00620000000001</v>
      </c>
      <c r="O49" t="n">
        <v>100</v>
      </c>
      <c r="P49" t="n">
        <v>16.54</v>
      </c>
      <c r="Q49" t="n">
        <v>7.33</v>
      </c>
    </row>
    <row r="50">
      <c r="A50" t="n">
        <v>605</v>
      </c>
      <c r="B50" t="n">
        <v>1.0456</v>
      </c>
      <c r="C50" t="n">
        <v>0.5668</v>
      </c>
      <c r="D50" t="n">
        <v>0.0005999999999999999</v>
      </c>
      <c r="E50" t="n">
        <v>1.0891</v>
      </c>
      <c r="F50" t="n">
        <v>0.593878</v>
      </c>
      <c r="G50" t="n">
        <v>0</v>
      </c>
      <c r="H50" t="n">
        <v>1.134757</v>
      </c>
      <c r="I50" t="n">
        <v>0.6270066</v>
      </c>
      <c r="J50" t="n">
        <v>2.334738e-05</v>
      </c>
      <c r="K50" t="n">
        <v>132.697</v>
      </c>
      <c r="L50" t="n">
        <v>88.83</v>
      </c>
      <c r="M50" t="n">
        <v>98.49879516</v>
      </c>
      <c r="N50" t="n">
        <v>89.8026</v>
      </c>
      <c r="O50" t="n">
        <v>100</v>
      </c>
      <c r="P50" t="n">
        <v>15.21</v>
      </c>
      <c r="Q50" t="n">
        <v>9.720000000000001</v>
      </c>
    </row>
    <row r="51">
      <c r="A51" t="n">
        <v>610</v>
      </c>
      <c r="B51" t="n">
        <v>1.0026</v>
      </c>
      <c r="C51" t="n">
        <v>0.503</v>
      </c>
      <c r="D51" t="n">
        <v>0.00034</v>
      </c>
      <c r="E51" t="n">
        <v>1.03048</v>
      </c>
      <c r="F51" t="n">
        <v>0.527963</v>
      </c>
      <c r="G51" t="n">
        <v>0</v>
      </c>
      <c r="H51" t="n">
        <v>1.083928</v>
      </c>
      <c r="I51" t="n">
        <v>0.5583746000000001</v>
      </c>
      <c r="J51" t="n">
        <v>1.554631e-05</v>
      </c>
      <c r="K51" t="n">
        <v>136.346</v>
      </c>
      <c r="L51" t="n">
        <v>88.40000000000001</v>
      </c>
      <c r="M51" t="n">
        <v>99.29184462000001</v>
      </c>
      <c r="N51" t="n">
        <v>89.59910000000001</v>
      </c>
      <c r="O51" t="n">
        <v>100</v>
      </c>
      <c r="P51" t="n">
        <v>13.8</v>
      </c>
      <c r="Q51" t="n">
        <v>55.27</v>
      </c>
    </row>
    <row r="52">
      <c r="A52" t="n">
        <v>615</v>
      </c>
      <c r="B52" t="n">
        <v>0.9384</v>
      </c>
      <c r="C52" t="n">
        <v>0.4412</v>
      </c>
      <c r="D52" t="n">
        <v>0.00024</v>
      </c>
      <c r="E52" t="n">
        <v>0.95074</v>
      </c>
      <c r="F52" t="n">
        <v>0.461834</v>
      </c>
      <c r="G52" t="n">
        <v>0</v>
      </c>
      <c r="H52" t="n">
        <v>1.007344</v>
      </c>
      <c r="I52" t="n">
        <v>0.489595</v>
      </c>
      <c r="J52" t="n">
        <v>1.048387e-05</v>
      </c>
      <c r="K52" t="n">
        <v>139.988</v>
      </c>
      <c r="L52" t="n">
        <v>88.19</v>
      </c>
      <c r="M52" t="n">
        <v>99.1798948</v>
      </c>
      <c r="N52" t="n">
        <v>88.6489</v>
      </c>
      <c r="O52" t="n">
        <v>100</v>
      </c>
      <c r="P52" t="n">
        <v>12.36</v>
      </c>
      <c r="Q52" t="n">
        <v>42.58</v>
      </c>
    </row>
    <row r="53">
      <c r="A53" t="n">
        <v>620</v>
      </c>
      <c r="B53" t="n">
        <v>0.85445</v>
      </c>
      <c r="C53" t="n">
        <v>0.381</v>
      </c>
      <c r="D53" t="n">
        <v>0.00019</v>
      </c>
      <c r="E53" t="n">
        <v>0.856297</v>
      </c>
      <c r="F53" t="n">
        <v>0.398057</v>
      </c>
      <c r="G53" t="n">
        <v>0</v>
      </c>
      <c r="H53" t="n">
        <v>0.9142877</v>
      </c>
      <c r="I53" t="n">
        <v>0.4229897</v>
      </c>
      <c r="J53" t="n">
        <v>0</v>
      </c>
      <c r="K53" t="n">
        <v>143.618</v>
      </c>
      <c r="L53" t="n">
        <v>88.09999999999999</v>
      </c>
      <c r="M53" t="n">
        <v>99.06794497999999</v>
      </c>
      <c r="N53" t="n">
        <v>87.6987</v>
      </c>
      <c r="O53" t="n">
        <v>100</v>
      </c>
      <c r="P53" t="n">
        <v>10.95</v>
      </c>
      <c r="Q53" t="n">
        <v>13.18</v>
      </c>
    </row>
    <row r="54">
      <c r="A54" t="n">
        <v>625</v>
      </c>
      <c r="B54" t="n">
        <v>0.7514</v>
      </c>
      <c r="C54" t="n">
        <v>0.321</v>
      </c>
      <c r="D54" t="n">
        <v>0.0001</v>
      </c>
      <c r="E54" t="n">
        <v>0.75493</v>
      </c>
      <c r="F54" t="n">
        <v>0.339554</v>
      </c>
      <c r="G54" t="n">
        <v>0</v>
      </c>
      <c r="H54" t="n">
        <v>0.8135565</v>
      </c>
      <c r="I54" t="n">
        <v>0.3609245</v>
      </c>
      <c r="J54" t="n">
        <v>0</v>
      </c>
      <c r="K54" t="n">
        <v>147.235</v>
      </c>
      <c r="L54" t="n">
        <v>88.06</v>
      </c>
      <c r="M54" t="n">
        <v>97.40931053</v>
      </c>
      <c r="N54" t="n">
        <v>85.4936</v>
      </c>
      <c r="O54" t="n">
        <v>100</v>
      </c>
      <c r="P54" t="n">
        <v>9.65</v>
      </c>
      <c r="Q54" t="n">
        <v>13.16</v>
      </c>
    </row>
    <row r="55">
      <c r="A55" t="n">
        <v>630</v>
      </c>
      <c r="B55" t="n">
        <v>0.6424</v>
      </c>
      <c r="C55" t="n">
        <v>0.265</v>
      </c>
      <c r="D55" t="n">
        <v>5e-05</v>
      </c>
      <c r="E55" t="n">
        <v>0.647467</v>
      </c>
      <c r="F55" t="n">
        <v>0.283493</v>
      </c>
      <c r="G55" t="n">
        <v>0</v>
      </c>
      <c r="H55" t="n">
        <v>0.6924717</v>
      </c>
      <c r="I55" t="n">
        <v>0.2980865</v>
      </c>
      <c r="J55" t="n">
        <v>0</v>
      </c>
      <c r="K55" t="n">
        <v>150.836</v>
      </c>
      <c r="L55" t="n">
        <v>88</v>
      </c>
      <c r="M55" t="n">
        <v>95.75067609</v>
      </c>
      <c r="N55" t="n">
        <v>83.2886</v>
      </c>
      <c r="O55" t="n">
        <v>100</v>
      </c>
      <c r="P55" t="n">
        <v>8.4</v>
      </c>
      <c r="Q55" t="n">
        <v>12.26</v>
      </c>
    </row>
    <row r="56">
      <c r="A56" t="n">
        <v>635</v>
      </c>
      <c r="B56" t="n">
        <v>0.5419</v>
      </c>
      <c r="C56" t="n">
        <v>0.217</v>
      </c>
      <c r="D56" t="n">
        <v>3e-05</v>
      </c>
      <c r="E56" t="n">
        <v>0.53511</v>
      </c>
      <c r="F56" t="n">
        <v>0.228254</v>
      </c>
      <c r="G56" t="n">
        <v>0</v>
      </c>
      <c r="H56" t="n">
        <v>0.575541</v>
      </c>
      <c r="I56" t="n">
        <v>0.2416902</v>
      </c>
      <c r="J56" t="n">
        <v>0</v>
      </c>
      <c r="K56" t="n">
        <v>154.418</v>
      </c>
      <c r="L56" t="n">
        <v>87.86</v>
      </c>
      <c r="M56" t="n">
        <v>97.32205722</v>
      </c>
      <c r="N56" t="n">
        <v>83.4939</v>
      </c>
      <c r="O56" t="n">
        <v>100</v>
      </c>
      <c r="P56" t="n">
        <v>7.32</v>
      </c>
      <c r="Q56" t="n">
        <v>5.11</v>
      </c>
    </row>
    <row r="57">
      <c r="A57" t="n">
        <v>640</v>
      </c>
      <c r="B57" t="n">
        <v>0.4479</v>
      </c>
      <c r="C57" t="n">
        <v>0.175</v>
      </c>
      <c r="D57" t="n">
        <v>2e-05</v>
      </c>
      <c r="E57" t="n">
        <v>0.431567</v>
      </c>
      <c r="F57" t="n">
        <v>0.179828</v>
      </c>
      <c r="G57" t="n">
        <v>0</v>
      </c>
      <c r="H57" t="n">
        <v>0.4731224</v>
      </c>
      <c r="I57" t="n">
        <v>0.1943124</v>
      </c>
      <c r="J57" t="n">
        <v>0</v>
      </c>
      <c r="K57" t="n">
        <v>157.979</v>
      </c>
      <c r="L57" t="n">
        <v>87.8</v>
      </c>
      <c r="M57" t="n">
        <v>98.89343834</v>
      </c>
      <c r="N57" t="n">
        <v>83.6992</v>
      </c>
      <c r="O57" t="n">
        <v>100</v>
      </c>
      <c r="P57" t="n">
        <v>6.31</v>
      </c>
      <c r="Q57" t="n">
        <v>2.07</v>
      </c>
    </row>
    <row r="58">
      <c r="A58" t="n">
        <v>645</v>
      </c>
      <c r="B58" t="n">
        <v>0.3608</v>
      </c>
      <c r="C58" t="n">
        <v>0.1382</v>
      </c>
      <c r="D58" t="n">
        <v>1e-05</v>
      </c>
      <c r="E58" t="n">
        <v>0.34369</v>
      </c>
      <c r="F58" t="n">
        <v>0.140211</v>
      </c>
      <c r="G58" t="n">
        <v>0</v>
      </c>
      <c r="H58" t="n">
        <v>0.3844986</v>
      </c>
      <c r="I58" t="n">
        <v>0.1547397</v>
      </c>
      <c r="J58" t="n">
        <v>0</v>
      </c>
      <c r="K58" t="n">
        <v>161.516</v>
      </c>
      <c r="L58" t="n">
        <v>87.98999999999999</v>
      </c>
      <c r="M58" t="n">
        <v>97.29942953</v>
      </c>
      <c r="N58" t="n">
        <v>81.863</v>
      </c>
      <c r="O58" t="n">
        <v>100</v>
      </c>
      <c r="P58" t="n">
        <v>5.43</v>
      </c>
      <c r="Q58" t="n">
        <v>2.34</v>
      </c>
    </row>
    <row r="59">
      <c r="A59" t="n">
        <v>650</v>
      </c>
      <c r="B59" t="n">
        <v>0.2835</v>
      </c>
      <c r="C59" t="n">
        <v>0.107</v>
      </c>
      <c r="D59" t="n">
        <v>0</v>
      </c>
      <c r="E59" t="n">
        <v>0.268329</v>
      </c>
      <c r="F59" t="n">
        <v>0.107633</v>
      </c>
      <c r="G59" t="n">
        <v>0</v>
      </c>
      <c r="H59" t="n">
        <v>0.2997374</v>
      </c>
      <c r="I59" t="n">
        <v>0.119312</v>
      </c>
      <c r="J59" t="n">
        <v>0</v>
      </c>
      <c r="K59" t="n">
        <v>165.028</v>
      </c>
      <c r="L59" t="n">
        <v>88.2</v>
      </c>
      <c r="M59" t="n">
        <v>95.70542073</v>
      </c>
      <c r="N59" t="n">
        <v>80.02679999999999</v>
      </c>
      <c r="O59" t="n">
        <v>100</v>
      </c>
      <c r="P59" t="n">
        <v>4.68</v>
      </c>
      <c r="Q59" t="n">
        <v>3.58</v>
      </c>
    </row>
    <row r="60">
      <c r="A60" t="n">
        <v>655</v>
      </c>
      <c r="B60" t="n">
        <v>0.2187</v>
      </c>
      <c r="C60" t="n">
        <v>0.08160000000000001</v>
      </c>
      <c r="D60" t="n">
        <v>0</v>
      </c>
      <c r="E60" t="n">
        <v>0.2043</v>
      </c>
      <c r="F60" t="n">
        <v>0.081187</v>
      </c>
      <c r="G60" t="n">
        <v>0</v>
      </c>
      <c r="H60" t="n">
        <v>0.2277792</v>
      </c>
      <c r="I60" t="n">
        <v>0.08979594</v>
      </c>
      <c r="J60" t="n">
        <v>0</v>
      </c>
      <c r="K60" t="n">
        <v>168.51</v>
      </c>
      <c r="L60" t="n">
        <v>88.2</v>
      </c>
      <c r="M60" t="n">
        <v>96.96979888</v>
      </c>
      <c r="N60" t="n">
        <v>80.1207</v>
      </c>
      <c r="O60" t="n">
        <v>100</v>
      </c>
      <c r="P60" t="n">
        <v>4.02</v>
      </c>
      <c r="Q60" t="n">
        <v>3.01</v>
      </c>
    </row>
    <row r="61">
      <c r="A61" t="n">
        <v>660</v>
      </c>
      <c r="B61" t="n">
        <v>0.1649</v>
      </c>
      <c r="C61" t="n">
        <v>0.061</v>
      </c>
      <c r="D61" t="n">
        <v>0</v>
      </c>
      <c r="E61" t="n">
        <v>0.152568</v>
      </c>
      <c r="F61" t="n">
        <v>0.060281</v>
      </c>
      <c r="G61" t="n">
        <v>0</v>
      </c>
      <c r="H61" t="n">
        <v>0.1707914</v>
      </c>
      <c r="I61" t="n">
        <v>0.06671045</v>
      </c>
      <c r="J61" t="n">
        <v>0</v>
      </c>
      <c r="K61" t="n">
        <v>171.963</v>
      </c>
      <c r="L61" t="n">
        <v>87.90000000000001</v>
      </c>
      <c r="M61" t="n">
        <v>98.23417703</v>
      </c>
      <c r="N61" t="n">
        <v>80.2146</v>
      </c>
      <c r="O61" t="n">
        <v>100</v>
      </c>
      <c r="P61" t="n">
        <v>3.45</v>
      </c>
      <c r="Q61" t="n">
        <v>2.48</v>
      </c>
    </row>
    <row r="62">
      <c r="A62" t="n">
        <v>665</v>
      </c>
      <c r="B62" t="n">
        <v>0.1212</v>
      </c>
      <c r="C62" t="n">
        <v>0.04458</v>
      </c>
      <c r="D62" t="n">
        <v>0</v>
      </c>
      <c r="E62" t="n">
        <v>0.11221</v>
      </c>
      <c r="F62" t="n">
        <v>0.044096</v>
      </c>
      <c r="G62" t="n">
        <v>0</v>
      </c>
      <c r="H62" t="n">
        <v>0.1263808</v>
      </c>
      <c r="I62" t="n">
        <v>0.04899699</v>
      </c>
      <c r="J62" t="n">
        <v>0</v>
      </c>
      <c r="K62" t="n">
        <v>175.383</v>
      </c>
      <c r="L62" t="n">
        <v>87.22</v>
      </c>
      <c r="M62" t="n">
        <v>100.6442479</v>
      </c>
      <c r="N62" t="n">
        <v>81.2462</v>
      </c>
      <c r="O62" t="n">
        <v>100</v>
      </c>
      <c r="P62" t="n">
        <v>2.96</v>
      </c>
      <c r="Q62" t="n">
        <v>2.14</v>
      </c>
    </row>
    <row r="63">
      <c r="A63" t="n">
        <v>670</v>
      </c>
      <c r="B63" t="n">
        <v>0.08740000000000001</v>
      </c>
      <c r="C63" t="n">
        <v>0.032</v>
      </c>
      <c r="D63" t="n">
        <v>0</v>
      </c>
      <c r="E63" t="n">
        <v>0.081261</v>
      </c>
      <c r="F63" t="n">
        <v>0.0318</v>
      </c>
      <c r="G63" t="n">
        <v>0</v>
      </c>
      <c r="H63" t="n">
        <v>0.09224597</v>
      </c>
      <c r="I63" t="n">
        <v>0.03559982</v>
      </c>
      <c r="J63" t="n">
        <v>0</v>
      </c>
      <c r="K63" t="n">
        <v>178.769</v>
      </c>
      <c r="L63" t="n">
        <v>86.3</v>
      </c>
      <c r="M63" t="n">
        <v>103.0543188</v>
      </c>
      <c r="N63" t="n">
        <v>82.2778</v>
      </c>
      <c r="O63" t="n">
        <v>100</v>
      </c>
      <c r="P63" t="n">
        <v>2.55</v>
      </c>
      <c r="Q63" t="n">
        <v>1.54</v>
      </c>
    </row>
    <row r="64">
      <c r="A64" t="n">
        <v>675</v>
      </c>
      <c r="B64" t="n">
        <v>0.0636</v>
      </c>
      <c r="C64" t="n">
        <v>0.0232</v>
      </c>
      <c r="D64" t="n">
        <v>0</v>
      </c>
      <c r="E64" t="n">
        <v>0.05793</v>
      </c>
      <c r="F64" t="n">
        <v>0.022602</v>
      </c>
      <c r="G64" t="n">
        <v>0</v>
      </c>
      <c r="H64" t="n">
        <v>0.0663996</v>
      </c>
      <c r="I64" t="n">
        <v>0.02554223</v>
      </c>
      <c r="J64" t="n">
        <v>0</v>
      </c>
      <c r="K64" t="n">
        <v>182.118</v>
      </c>
      <c r="L64" t="n">
        <v>85.3</v>
      </c>
      <c r="M64" t="n">
        <v>101.1196364</v>
      </c>
      <c r="N64" t="n">
        <v>80.28100000000001</v>
      </c>
      <c r="O64" t="n">
        <v>100</v>
      </c>
      <c r="P64" t="n">
        <v>2.19</v>
      </c>
      <c r="Q64" t="n">
        <v>1.33</v>
      </c>
    </row>
    <row r="65">
      <c r="A65" t="n">
        <v>680</v>
      </c>
      <c r="B65" t="n">
        <v>0.04677</v>
      </c>
      <c r="C65" t="n">
        <v>0.017</v>
      </c>
      <c r="D65" t="n">
        <v>0</v>
      </c>
      <c r="E65" t="n">
        <v>0.040851</v>
      </c>
      <c r="F65" t="n">
        <v>0.015905</v>
      </c>
      <c r="G65" t="n">
        <v>0</v>
      </c>
      <c r="H65" t="n">
        <v>0.04710606</v>
      </c>
      <c r="I65" t="n">
        <v>0.01807939</v>
      </c>
      <c r="J65" t="n">
        <v>0</v>
      </c>
      <c r="K65" t="n">
        <v>185.429</v>
      </c>
      <c r="L65" t="n">
        <v>84</v>
      </c>
      <c r="M65" t="n">
        <v>99.18495403</v>
      </c>
      <c r="N65" t="n">
        <v>78.2842</v>
      </c>
      <c r="O65" t="n">
        <v>100</v>
      </c>
      <c r="P65" t="n">
        <v>1.89</v>
      </c>
      <c r="Q65" t="n">
        <v>1.46</v>
      </c>
    </row>
    <row r="66">
      <c r="A66" t="n">
        <v>685</v>
      </c>
      <c r="B66" t="n">
        <v>0.0329</v>
      </c>
      <c r="C66" t="n">
        <v>0.01192</v>
      </c>
      <c r="D66" t="n">
        <v>0</v>
      </c>
      <c r="E66" t="n">
        <v>0.028623</v>
      </c>
      <c r="F66" t="n">
        <v>0.01113</v>
      </c>
      <c r="G66" t="n">
        <v>0</v>
      </c>
      <c r="H66" t="n">
        <v>0.03292138</v>
      </c>
      <c r="I66" t="n">
        <v>0.01261573</v>
      </c>
      <c r="J66" t="n">
        <v>0</v>
      </c>
      <c r="K66" t="n">
        <v>188.701</v>
      </c>
      <c r="L66" t="n">
        <v>82.20999999999999</v>
      </c>
      <c r="M66" t="n">
        <v>93.30456624999999</v>
      </c>
      <c r="N66" t="n">
        <v>74.0027</v>
      </c>
      <c r="O66" t="n">
        <v>100</v>
      </c>
      <c r="P66" t="n">
        <v>1.64</v>
      </c>
      <c r="Q66" t="n">
        <v>1.94</v>
      </c>
    </row>
    <row r="67">
      <c r="A67" t="n">
        <v>690</v>
      </c>
      <c r="B67" t="n">
        <v>0.0227</v>
      </c>
      <c r="C67" t="n">
        <v>0.00821</v>
      </c>
      <c r="D67" t="n">
        <v>0</v>
      </c>
      <c r="E67" t="n">
        <v>0.019941</v>
      </c>
      <c r="F67" t="n">
        <v>0.007749</v>
      </c>
      <c r="G67" t="n">
        <v>0</v>
      </c>
      <c r="H67" t="n">
        <v>0.02262306</v>
      </c>
      <c r="I67" t="n">
        <v>0.008661284</v>
      </c>
      <c r="J67" t="n">
        <v>0</v>
      </c>
      <c r="K67" t="n">
        <v>191.931</v>
      </c>
      <c r="L67" t="n">
        <v>80.2</v>
      </c>
      <c r="M67" t="n">
        <v>87.42417847</v>
      </c>
      <c r="N67" t="n">
        <v>69.7213</v>
      </c>
      <c r="O67" t="n">
        <v>100</v>
      </c>
      <c r="P67" t="n">
        <v>1.53</v>
      </c>
      <c r="Q67" t="n">
        <v>2</v>
      </c>
    </row>
    <row r="68">
      <c r="A68" t="n">
        <v>695</v>
      </c>
      <c r="B68" t="n">
        <v>0.01584</v>
      </c>
      <c r="C68" t="n">
        <v>0.005723</v>
      </c>
      <c r="D68" t="n">
        <v>0</v>
      </c>
      <c r="E68" t="n">
        <v>0.013842</v>
      </c>
      <c r="F68" t="n">
        <v>0.005375</v>
      </c>
      <c r="G68" t="n">
        <v>0</v>
      </c>
      <c r="H68" t="n">
        <v>0.01575417</v>
      </c>
      <c r="I68" t="n">
        <v>0.006027677</v>
      </c>
      <c r="J68" t="n">
        <v>0</v>
      </c>
      <c r="K68" t="n">
        <v>195.118</v>
      </c>
      <c r="L68" t="n">
        <v>78.23999999999999</v>
      </c>
      <c r="M68" t="n">
        <v>89.53855661999999</v>
      </c>
      <c r="N68" t="n">
        <v>70.6652</v>
      </c>
      <c r="O68" t="n">
        <v>100</v>
      </c>
      <c r="P68" t="n">
        <v>1.27</v>
      </c>
      <c r="Q68" t="n">
        <v>1.2</v>
      </c>
    </row>
    <row r="69">
      <c r="A69" t="n">
        <v>700</v>
      </c>
      <c r="B69" t="n">
        <v>0.011359</v>
      </c>
      <c r="C69" t="n">
        <v>0.004102</v>
      </c>
      <c r="D69" t="n">
        <v>0</v>
      </c>
      <c r="E69" t="n">
        <v>0.009577</v>
      </c>
      <c r="F69" t="n">
        <v>0.003718</v>
      </c>
      <c r="G69" t="n">
        <v>0</v>
      </c>
      <c r="H69" t="n">
        <v>0.01096778</v>
      </c>
      <c r="I69" t="n">
        <v>0.004195941</v>
      </c>
      <c r="J69" t="n">
        <v>0</v>
      </c>
      <c r="K69" t="n">
        <v>198.261</v>
      </c>
      <c r="L69" t="n">
        <v>76.3</v>
      </c>
      <c r="M69" t="n">
        <v>91.65293478</v>
      </c>
      <c r="N69" t="n">
        <v>71.6091</v>
      </c>
      <c r="O69" t="n">
        <v>100</v>
      </c>
      <c r="P69" t="n">
        <v>1.1</v>
      </c>
      <c r="Q69" t="n">
        <v>1.35</v>
      </c>
    </row>
    <row r="70">
      <c r="A70" t="n">
        <v>705</v>
      </c>
      <c r="B70" t="n">
        <v>0.008111</v>
      </c>
      <c r="C70" t="n">
        <v>0.002929</v>
      </c>
      <c r="D70" t="n">
        <v>0</v>
      </c>
      <c r="E70" t="n">
        <v>0.006605</v>
      </c>
      <c r="F70" t="n">
        <v>0.002565</v>
      </c>
      <c r="G70" t="n">
        <v>0</v>
      </c>
      <c r="H70" t="n">
        <v>0.00760875</v>
      </c>
      <c r="I70" t="n">
        <v>0.002910864</v>
      </c>
      <c r="J70" t="n">
        <v>0</v>
      </c>
      <c r="K70" t="n">
        <v>201.359</v>
      </c>
      <c r="L70" t="n">
        <v>74.36</v>
      </c>
      <c r="M70" t="n">
        <v>92.29325599000001</v>
      </c>
      <c r="N70" t="n">
        <v>72.979</v>
      </c>
      <c r="O70" t="n">
        <v>100</v>
      </c>
      <c r="P70" t="n">
        <v>0.99</v>
      </c>
      <c r="Q70" t="n">
        <v>4.1</v>
      </c>
    </row>
    <row r="71">
      <c r="A71" t="n">
        <v>710</v>
      </c>
      <c r="B71" t="n">
        <v>0.00579</v>
      </c>
      <c r="C71" t="n">
        <v>0.002091</v>
      </c>
      <c r="D71" t="n">
        <v>0</v>
      </c>
      <c r="E71" t="n">
        <v>0.004553</v>
      </c>
      <c r="F71" t="n">
        <v>0.001768</v>
      </c>
      <c r="G71" t="n">
        <v>0</v>
      </c>
      <c r="H71" t="n">
        <v>0.005214608</v>
      </c>
      <c r="I71" t="n">
        <v>0.001995557</v>
      </c>
      <c r="J71" t="n">
        <v>0</v>
      </c>
      <c r="K71" t="n">
        <v>204.409</v>
      </c>
      <c r="L71" t="n">
        <v>72.40000000000001</v>
      </c>
      <c r="M71" t="n">
        <v>92.93357721</v>
      </c>
      <c r="N71" t="n">
        <v>74.349</v>
      </c>
      <c r="O71" t="n">
        <v>100</v>
      </c>
      <c r="P71" t="n">
        <v>0.88</v>
      </c>
      <c r="Q71" t="n">
        <v>5.58</v>
      </c>
    </row>
    <row r="72">
      <c r="A72" t="n">
        <v>715</v>
      </c>
      <c r="B72" t="n">
        <v>0.004109</v>
      </c>
      <c r="C72" t="n">
        <v>0.001484</v>
      </c>
      <c r="D72" t="n">
        <v>0</v>
      </c>
      <c r="E72" t="n">
        <v>0.003145</v>
      </c>
      <c r="F72" t="n">
        <v>0.001222</v>
      </c>
      <c r="G72" t="n">
        <v>0</v>
      </c>
      <c r="H72" t="n">
        <v>0.003569452</v>
      </c>
      <c r="I72" t="n">
        <v>0.001367022</v>
      </c>
      <c r="J72" t="n">
        <v>0</v>
      </c>
      <c r="K72" t="n">
        <v>207.411</v>
      </c>
      <c r="L72" t="n">
        <v>70.40000000000001</v>
      </c>
      <c r="M72" t="n">
        <v>84.912496</v>
      </c>
      <c r="N72" t="n">
        <v>67.9765</v>
      </c>
      <c r="O72" t="n">
        <v>100</v>
      </c>
      <c r="P72" t="n">
        <v>0.76</v>
      </c>
      <c r="Q72" t="n">
        <v>2.51</v>
      </c>
    </row>
    <row r="73">
      <c r="A73" t="n">
        <v>720</v>
      </c>
      <c r="B73" t="n">
        <v>0.002899</v>
      </c>
      <c r="C73" t="n">
        <v>0.001047</v>
      </c>
      <c r="D73" t="n">
        <v>0</v>
      </c>
      <c r="E73" t="n">
        <v>0.002175</v>
      </c>
      <c r="F73" t="n">
        <v>0.000846</v>
      </c>
      <c r="G73" t="n">
        <v>0</v>
      </c>
      <c r="H73" t="n">
        <v>0.002464821</v>
      </c>
      <c r="I73" t="n">
        <v>0.0009447269</v>
      </c>
      <c r="J73" t="n">
        <v>0</v>
      </c>
      <c r="K73" t="n">
        <v>210.365</v>
      </c>
      <c r="L73" t="n">
        <v>68.3</v>
      </c>
      <c r="M73" t="n">
        <v>76.89141479</v>
      </c>
      <c r="N73" t="n">
        <v>61.604</v>
      </c>
      <c r="O73" t="n">
        <v>100</v>
      </c>
      <c r="P73" t="n">
        <v>0.68</v>
      </c>
      <c r="Q73" t="n">
        <v>0.57</v>
      </c>
    </row>
    <row r="74">
      <c r="A74" t="n">
        <v>725</v>
      </c>
      <c r="B74" t="n">
        <v>0.002049</v>
      </c>
      <c r="C74" t="n">
        <v>0.00074</v>
      </c>
      <c r="D74" t="n">
        <v>0</v>
      </c>
      <c r="E74" t="n">
        <v>0.001506</v>
      </c>
      <c r="F74" t="n">
        <v>0.000586</v>
      </c>
      <c r="G74" t="n">
        <v>0</v>
      </c>
      <c r="H74" t="n">
        <v>0.001703876</v>
      </c>
      <c r="I74" t="n">
        <v>0.000653705</v>
      </c>
      <c r="J74" t="n">
        <v>0</v>
      </c>
      <c r="K74" t="n">
        <v>213.268</v>
      </c>
      <c r="L74" t="n">
        <v>66.3</v>
      </c>
      <c r="M74" t="n">
        <v>81.72145021999999</v>
      </c>
      <c r="N74" t="n">
        <v>65.7448</v>
      </c>
      <c r="O74" t="n">
        <v>100</v>
      </c>
      <c r="P74" t="n">
        <v>0.61</v>
      </c>
      <c r="Q74" t="n">
        <v>0.27</v>
      </c>
    </row>
    <row r="75">
      <c r="A75" t="n">
        <v>730</v>
      </c>
      <c r="B75" t="n">
        <v>0.00144</v>
      </c>
      <c r="C75" t="n">
        <v>0.00052</v>
      </c>
      <c r="D75" t="n">
        <v>0</v>
      </c>
      <c r="E75" t="n">
        <v>0.001045</v>
      </c>
      <c r="F75" t="n">
        <v>0.000407</v>
      </c>
      <c r="G75" t="n">
        <v>0</v>
      </c>
      <c r="H75" t="n">
        <v>0.001186238</v>
      </c>
      <c r="I75" t="n">
        <v>0.000455597</v>
      </c>
      <c r="J75" t="n">
        <v>0</v>
      </c>
      <c r="K75" t="n">
        <v>216.12</v>
      </c>
      <c r="L75" t="n">
        <v>64.40000000000001</v>
      </c>
      <c r="M75" t="n">
        <v>86.55148565</v>
      </c>
      <c r="N75" t="n">
        <v>69.8856</v>
      </c>
      <c r="O75" t="n">
        <v>100</v>
      </c>
      <c r="P75" t="n">
        <v>0.5600000000000001</v>
      </c>
      <c r="Q75" t="n">
        <v>0.23</v>
      </c>
    </row>
    <row r="76">
      <c r="A76" t="n">
        <v>735</v>
      </c>
      <c r="B76" t="n">
        <v>0.001</v>
      </c>
      <c r="C76" t="n">
        <v>0.000361</v>
      </c>
      <c r="D76" t="n">
        <v>0</v>
      </c>
      <c r="E76" t="n">
        <v>0.000727</v>
      </c>
      <c r="F76" t="n">
        <v>0.000284</v>
      </c>
      <c r="G76" t="n">
        <v>0</v>
      </c>
      <c r="H76" t="n">
        <v>0.0008269535</v>
      </c>
      <c r="I76" t="n">
        <v>0.0003179738</v>
      </c>
      <c r="J76" t="n">
        <v>0</v>
      </c>
      <c r="K76" t="n">
        <v>218.92</v>
      </c>
      <c r="L76" t="n">
        <v>62.8</v>
      </c>
      <c r="M76" t="n">
        <v>89.58684015</v>
      </c>
      <c r="N76" t="n">
        <v>72.4863</v>
      </c>
      <c r="O76" t="n">
        <v>100</v>
      </c>
      <c r="P76" t="n">
        <v>0.54</v>
      </c>
      <c r="Q76" t="n">
        <v>0.21</v>
      </c>
    </row>
    <row r="77">
      <c r="A77" t="n">
        <v>740</v>
      </c>
      <c r="B77" t="n">
        <v>0.00069</v>
      </c>
      <c r="C77" t="n">
        <v>0.000249</v>
      </c>
      <c r="D77" t="n">
        <v>0</v>
      </c>
      <c r="E77" t="n">
        <v>0.000508</v>
      </c>
      <c r="F77" t="n">
        <v>0.000199</v>
      </c>
      <c r="G77" t="n">
        <v>0</v>
      </c>
      <c r="H77" t="n">
        <v>0.0005758303</v>
      </c>
      <c r="I77" t="n">
        <v>0.0002217445</v>
      </c>
      <c r="J77" t="n">
        <v>0</v>
      </c>
      <c r="K77" t="n">
        <v>221.667</v>
      </c>
      <c r="L77" t="n">
        <v>61.5</v>
      </c>
      <c r="M77" t="n">
        <v>92.62219465</v>
      </c>
      <c r="N77" t="n">
        <v>75.087</v>
      </c>
      <c r="O77" t="n">
        <v>100</v>
      </c>
      <c r="P77" t="n">
        <v>0.51</v>
      </c>
      <c r="Q77" t="n">
        <v>0.24</v>
      </c>
    </row>
    <row r="78">
      <c r="A78" t="n">
        <v>745</v>
      </c>
      <c r="B78" t="n">
        <v>0.000476</v>
      </c>
      <c r="C78" t="n">
        <v>0.000172</v>
      </c>
      <c r="D78" t="n">
        <v>0</v>
      </c>
      <c r="E78" t="n">
        <v>0.000356</v>
      </c>
      <c r="F78" t="n">
        <v>0.00014</v>
      </c>
      <c r="G78" t="n">
        <v>0</v>
      </c>
      <c r="H78" t="n">
        <v>0.0004058303</v>
      </c>
      <c r="I78" t="n">
        <v>0.0001565566</v>
      </c>
      <c r="J78" t="n">
        <v>0</v>
      </c>
      <c r="K78" t="n">
        <v>224.361</v>
      </c>
      <c r="L78" t="n">
        <v>60.2</v>
      </c>
      <c r="M78" t="n">
        <v>85.44379069</v>
      </c>
      <c r="N78" t="n">
        <v>69.3398</v>
      </c>
      <c r="O78" t="n">
        <v>100</v>
      </c>
      <c r="P78" t="n">
        <v>0.47</v>
      </c>
      <c r="Q78" t="n">
        <v>0.24</v>
      </c>
    </row>
    <row r="79">
      <c r="A79" t="n">
        <v>750</v>
      </c>
      <c r="B79" t="n">
        <v>0.000332</v>
      </c>
      <c r="C79" t="n">
        <v>0.00012</v>
      </c>
      <c r="D79" t="n">
        <v>0</v>
      </c>
      <c r="E79" t="n">
        <v>0.000251</v>
      </c>
      <c r="F79" t="n">
        <v>9.8e-05</v>
      </c>
      <c r="G79" t="n">
        <v>0</v>
      </c>
      <c r="H79" t="n">
        <v>0.0002856577</v>
      </c>
      <c r="I79" t="n">
        <v>0.0001103928</v>
      </c>
      <c r="J79" t="n">
        <v>0</v>
      </c>
      <c r="K79" t="n">
        <v>227</v>
      </c>
      <c r="L79" t="n">
        <v>59.2</v>
      </c>
      <c r="M79" t="n">
        <v>78.26538673</v>
      </c>
      <c r="N79" t="n">
        <v>63.5927</v>
      </c>
      <c r="O79" t="n">
        <v>100</v>
      </c>
      <c r="P79" t="n">
        <v>0.47</v>
      </c>
      <c r="Q79" t="n">
        <v>0.2</v>
      </c>
    </row>
    <row r="80">
      <c r="A80" t="n">
        <v>755</v>
      </c>
      <c r="B80" t="n">
        <v>0.000235</v>
      </c>
      <c r="C80" t="n">
        <v>8.500000000000001e-05</v>
      </c>
      <c r="D80" t="n">
        <v>0</v>
      </c>
      <c r="E80" t="n">
        <v>0.000178</v>
      </c>
      <c r="F80" t="n">
        <v>6.999999999999999e-05</v>
      </c>
      <c r="G80" t="n">
        <v>0</v>
      </c>
      <c r="H80" t="n">
        <v>0.0002021853</v>
      </c>
      <c r="I80" t="n">
        <v>7.827442000000001e-05</v>
      </c>
      <c r="J80" t="n">
        <v>0</v>
      </c>
      <c r="K80" t="n">
        <v>229.585</v>
      </c>
      <c r="L80" t="n">
        <v>58.5</v>
      </c>
      <c r="M80" t="n">
        <v>67.99230183</v>
      </c>
      <c r="N80" t="n">
        <v>55.0054</v>
      </c>
      <c r="O80" t="n">
        <v>100</v>
      </c>
      <c r="P80" t="n">
        <v>0.43</v>
      </c>
      <c r="Q80" t="n">
        <v>0.24</v>
      </c>
    </row>
    <row r="81">
      <c r="A81" t="n">
        <v>760</v>
      </c>
      <c r="B81" t="n">
        <v>0.000166</v>
      </c>
      <c r="C81" t="n">
        <v>6e-05</v>
      </c>
      <c r="D81" t="n">
        <v>0</v>
      </c>
      <c r="E81" t="n">
        <v>0.000126</v>
      </c>
      <c r="F81" t="n">
        <v>5e-05</v>
      </c>
      <c r="G81" t="n">
        <v>0</v>
      </c>
      <c r="H81" t="n">
        <v>0.000143827</v>
      </c>
      <c r="I81" t="n">
        <v>5.578862e-05</v>
      </c>
      <c r="J81" t="n">
        <v>0</v>
      </c>
      <c r="K81" t="n">
        <v>232.115</v>
      </c>
      <c r="L81" t="n">
        <v>58.1</v>
      </c>
      <c r="M81" t="n">
        <v>57.71921694</v>
      </c>
      <c r="N81" t="n">
        <v>46.4182</v>
      </c>
      <c r="O81" t="n">
        <v>100</v>
      </c>
      <c r="P81" t="n">
        <v>0.46</v>
      </c>
      <c r="Q81" t="n">
        <v>0.32</v>
      </c>
    </row>
    <row r="82">
      <c r="A82" t="n">
        <v>765</v>
      </c>
      <c r="B82" t="n">
        <v>0.000117</v>
      </c>
      <c r="C82" t="n">
        <v>4.2e-05</v>
      </c>
      <c r="D82" t="n">
        <v>0</v>
      </c>
      <c r="E82" t="n">
        <v>9.000000000000001e-05</v>
      </c>
      <c r="F82" t="n">
        <v>3.6e-05</v>
      </c>
      <c r="G82" t="n">
        <v>0</v>
      </c>
      <c r="H82" t="n">
        <v>0.0001024685</v>
      </c>
      <c r="I82" t="n">
        <v>3.981884e-05</v>
      </c>
      <c r="J82" t="n">
        <v>0</v>
      </c>
      <c r="K82" t="n">
        <v>234.589</v>
      </c>
      <c r="L82" t="n">
        <v>58</v>
      </c>
      <c r="M82" t="n">
        <v>70.34067036</v>
      </c>
      <c r="N82" t="n">
        <v>56.6118</v>
      </c>
      <c r="O82" t="n">
        <v>100</v>
      </c>
      <c r="P82" t="n">
        <v>0.47</v>
      </c>
      <c r="Q82" t="n">
        <v>0.26</v>
      </c>
    </row>
    <row r="83">
      <c r="A83" t="n">
        <v>770</v>
      </c>
      <c r="B83" t="n">
        <v>8.3e-05</v>
      </c>
      <c r="C83" t="n">
        <v>3e-05</v>
      </c>
      <c r="D83" t="n">
        <v>0</v>
      </c>
      <c r="E83" t="n">
        <v>6.499999999999999e-05</v>
      </c>
      <c r="F83" t="n">
        <v>2.5e-05</v>
      </c>
      <c r="G83" t="n">
        <v>0</v>
      </c>
      <c r="H83" t="n">
        <v>7.347551000000001e-05</v>
      </c>
      <c r="I83" t="n">
        <v>2.860175e-05</v>
      </c>
      <c r="J83" t="n">
        <v>0</v>
      </c>
      <c r="K83" t="n">
        <v>237.008</v>
      </c>
      <c r="L83" t="n">
        <v>58.2</v>
      </c>
      <c r="M83" t="n">
        <v>82.96212378</v>
      </c>
      <c r="N83" t="n">
        <v>66.80540000000001</v>
      </c>
      <c r="O83" t="n">
        <v>100</v>
      </c>
      <c r="P83" t="n">
        <v>0.4</v>
      </c>
      <c r="Q83" t="n">
        <v>0.16</v>
      </c>
    </row>
    <row r="84">
      <c r="A84" t="n">
        <v>775</v>
      </c>
      <c r="B84" t="n">
        <v>5.9e-05</v>
      </c>
      <c r="C84" t="n">
        <v>2.1e-05</v>
      </c>
      <c r="D84" t="n">
        <v>0</v>
      </c>
      <c r="E84" t="n">
        <v>4.6e-05</v>
      </c>
      <c r="F84" t="n">
        <v>1.8e-05</v>
      </c>
      <c r="G84" t="n">
        <v>0</v>
      </c>
      <c r="H84" t="n">
        <v>5.25987e-05</v>
      </c>
      <c r="I84" t="n">
        <v>2.051259e-05</v>
      </c>
      <c r="J84" t="n">
        <v>0</v>
      </c>
      <c r="K84" t="n">
        <v>239.37</v>
      </c>
      <c r="L84" t="n">
        <v>0</v>
      </c>
      <c r="M84" t="n">
        <v>80.63609572</v>
      </c>
      <c r="N84" t="n">
        <v>65.0941</v>
      </c>
      <c r="O84" t="n">
        <v>100</v>
      </c>
      <c r="P84" t="n">
        <v>0.33</v>
      </c>
      <c r="Q84" t="n">
        <v>0.12</v>
      </c>
    </row>
    <row r="85">
      <c r="A85" t="n">
        <v>780</v>
      </c>
      <c r="B85" t="n">
        <v>4.2e-05</v>
      </c>
      <c r="C85" t="n">
        <v>1.5e-05</v>
      </c>
      <c r="D85" t="n">
        <v>0</v>
      </c>
      <c r="E85" t="n">
        <v>3.3e-05</v>
      </c>
      <c r="F85" t="n">
        <v>1.3e-05</v>
      </c>
      <c r="G85" t="n">
        <v>0</v>
      </c>
      <c r="H85" t="n">
        <v>3.806114e-05</v>
      </c>
      <c r="I85" t="n">
        <v>1.487243e-05</v>
      </c>
      <c r="J85" t="n">
        <v>0</v>
      </c>
      <c r="K85" t="n">
        <v>241.675</v>
      </c>
      <c r="L85" t="n">
        <v>0</v>
      </c>
      <c r="M85" t="n">
        <v>78.31006766</v>
      </c>
      <c r="N85" t="n">
        <v>63.3828</v>
      </c>
      <c r="O85" t="n">
        <v>100</v>
      </c>
      <c r="P85" t="n">
        <v>0.27</v>
      </c>
      <c r="Q85" t="n">
        <v>0.09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6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Wpt normalization: source condition</t>
        </is>
      </c>
    </row>
    <row r="3">
      <c r="A3" t="inlineStr">
        <is>
          <t>k (white Y = 100)</t>
        </is>
      </c>
      <c r="B3">
        <f>100/SUMPRODUCT(CHOOSE(MATCH(Inputs!$C$4,{"CIE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</row>
    <row r="6">
      <c r="A6" t="inlineStr">
        <is>
          <t>White XYZ</t>
        </is>
      </c>
      <c r="B6">
        <f>$B$3*SUMPRODUCT(CHOOSE(MATCH(Inputs!$C$4,{"CIE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C6">
        <f>$B$3*SUMPRODUCT(CHOOSE(MATCH(Inputs!$C$4,{"CIE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D6">
        <f>$B$3*SUMPRODUCT(CHOOSE(MATCH(Inputs!$C$4,{"CIE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</row>
    <row r="8">
      <c r="A8" t="inlineStr">
        <is>
          <t>Base samples: XYZ (rows 9-11)</t>
        </is>
      </c>
      <c r="C8">
        <f>Base!C4</f>
        <v/>
      </c>
      <c r="D8">
        <f>Base!D4</f>
        <v/>
      </c>
      <c r="E8">
        <f>Base!E4</f>
        <v/>
      </c>
      <c r="F8">
        <f>Base!F4</f>
        <v/>
      </c>
      <c r="G8">
        <f>Base!G4</f>
        <v/>
      </c>
      <c r="H8">
        <f>Base!H4</f>
        <v/>
      </c>
      <c r="I8">
        <f>Base!I4</f>
        <v/>
      </c>
      <c r="J8">
        <f>Base!J4</f>
        <v/>
      </c>
      <c r="K8">
        <f>Base!K4</f>
        <v/>
      </c>
      <c r="L8">
        <f>Base!L4</f>
        <v/>
      </c>
      <c r="M8">
        <f>Base!M4</f>
        <v/>
      </c>
      <c r="N8">
        <f>Base!N4</f>
        <v/>
      </c>
      <c r="O8">
        <f>Base!O4</f>
        <v/>
      </c>
      <c r="P8">
        <f>Base!P4</f>
        <v/>
      </c>
      <c r="Q8">
        <f>Base!Q4</f>
        <v/>
      </c>
      <c r="R8">
        <f>Base!R4</f>
        <v/>
      </c>
      <c r="S8">
        <f>Base!S4</f>
        <v/>
      </c>
      <c r="T8">
        <f>Base!T4</f>
        <v/>
      </c>
      <c r="U8">
        <f>Base!U4</f>
        <v/>
      </c>
      <c r="V8">
        <f>Base!V4</f>
        <v/>
      </c>
      <c r="W8">
        <f>Base!W4</f>
        <v/>
      </c>
      <c r="X8">
        <f>Base!X4</f>
        <v/>
      </c>
      <c r="Y8">
        <f>Base!Y4</f>
        <v/>
      </c>
      <c r="Z8">
        <f>Base!Z4</f>
        <v/>
      </c>
      <c r="AA8">
        <f>Base!AA4</f>
        <v/>
      </c>
      <c r="AB8">
        <f>Base!AB4</f>
        <v/>
      </c>
      <c r="AC8">
        <f>Base!AC4</f>
        <v/>
      </c>
      <c r="AD8">
        <f>Base!AD4</f>
        <v/>
      </c>
      <c r="AE8">
        <f>Base!AE4</f>
        <v/>
      </c>
      <c r="AF8">
        <f>Base!AF4</f>
        <v/>
      </c>
      <c r="AG8">
        <f>Base!AG4</f>
        <v/>
      </c>
      <c r="AH8">
        <f>Base!AH4</f>
        <v/>
      </c>
      <c r="AI8">
        <f>Base!AI4</f>
        <v/>
      </c>
      <c r="AJ8">
        <f>Base!AJ4</f>
        <v/>
      </c>
      <c r="AK8">
        <f>Base!AK4</f>
        <v/>
      </c>
      <c r="AL8">
        <f>Base!AL4</f>
        <v/>
      </c>
      <c r="AM8">
        <f>Base!AM4</f>
        <v/>
      </c>
      <c r="AN8">
        <f>Base!AN4</f>
        <v/>
      </c>
      <c r="AO8">
        <f>Base!AO4</f>
        <v/>
      </c>
      <c r="AP8">
        <f>Base!AP4</f>
        <v/>
      </c>
    </row>
    <row r="9">
      <c r="C9">
        <f>$B$3*SUMPRODUCT(Base!$C$5:$C$85,CHOOSE(MATCH(Inputs!$C$4,{"CIE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D9">
        <f>$B$3*SUMPRODUCT(Base!$D$5:$D$85,CHOOSE(MATCH(Inputs!$C$4,{"CIE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E9">
        <f>$B$3*SUMPRODUCT(Base!$E$5:$E$85,CHOOSE(MATCH(Inputs!$C$4,{"CIE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F9">
        <f>$B$3*SUMPRODUCT(Base!$F$5:$F$85,CHOOSE(MATCH(Inputs!$C$4,{"CIE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G9">
        <f>$B$3*SUMPRODUCT(Base!$G$5:$G$85,CHOOSE(MATCH(Inputs!$C$4,{"CIE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H9">
        <f>$B$3*SUMPRODUCT(Base!$H$5:$H$85,CHOOSE(MATCH(Inputs!$C$4,{"CIE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I9">
        <f>$B$3*SUMPRODUCT(Base!$I$5:$I$85,CHOOSE(MATCH(Inputs!$C$4,{"CIE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J9">
        <f>$B$3*SUMPRODUCT(Base!$J$5:$J$85,CHOOSE(MATCH(Inputs!$C$4,{"CIE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K9">
        <f>$B$3*SUMPRODUCT(Base!$K$5:$K$85,CHOOSE(MATCH(Inputs!$C$4,{"CIE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L9">
        <f>$B$3*SUMPRODUCT(Base!$L$5:$L$85,CHOOSE(MATCH(Inputs!$C$4,{"CIE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M9">
        <f>$B$3*SUMPRODUCT(Base!$M$5:$M$85,CHOOSE(MATCH(Inputs!$C$4,{"CIE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N9">
        <f>$B$3*SUMPRODUCT(Base!$N$5:$N$85,CHOOSE(MATCH(Inputs!$C$4,{"CIE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O9">
        <f>$B$3*SUMPRODUCT(Base!$O$5:$O$85,CHOOSE(MATCH(Inputs!$C$4,{"CIE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P9">
        <f>$B$3*SUMPRODUCT(Base!$P$5:$P$85,CHOOSE(MATCH(Inputs!$C$4,{"CIE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Q9">
        <f>$B$3*SUMPRODUCT(Base!$Q$5:$Q$85,CHOOSE(MATCH(Inputs!$C$4,{"CIE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R9">
        <f>$B$3*SUMPRODUCT(Base!$R$5:$R$85,CHOOSE(MATCH(Inputs!$C$4,{"CIE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S9">
        <f>$B$3*SUMPRODUCT(Base!$S$5:$S$85,CHOOSE(MATCH(Inputs!$C$4,{"CIE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T9">
        <f>$B$3*SUMPRODUCT(Base!$T$5:$T$85,CHOOSE(MATCH(Inputs!$C$4,{"CIE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U9">
        <f>$B$3*SUMPRODUCT(Base!$U$5:$U$85,CHOOSE(MATCH(Inputs!$C$4,{"CIE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V9">
        <f>$B$3*SUMPRODUCT(Base!$V$5:$V$85,CHOOSE(MATCH(Inputs!$C$4,{"CIE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W9">
        <f>$B$3*SUMPRODUCT(Base!$W$5:$W$85,CHOOSE(MATCH(Inputs!$C$4,{"CIE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X9">
        <f>$B$3*SUMPRODUCT(Base!$X$5:$X$85,CHOOSE(MATCH(Inputs!$C$4,{"CIE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Y9">
        <f>$B$3*SUMPRODUCT(Base!$Y$5:$Y$85,CHOOSE(MATCH(Inputs!$C$4,{"CIE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Z9">
        <f>$B$3*SUMPRODUCT(Base!$Z$5:$Z$85,CHOOSE(MATCH(Inputs!$C$4,{"CIE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A9">
        <f>$B$3*SUMPRODUCT(Base!$AA$5:$AA$85,CHOOSE(MATCH(Inputs!$C$4,{"CIE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B9">
        <f>$B$3*SUMPRODUCT(Base!$AB$5:$AB$85,CHOOSE(MATCH(Inputs!$C$4,{"CIE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C9">
        <f>$B$3*SUMPRODUCT(Base!$AC$5:$AC$85,CHOOSE(MATCH(Inputs!$C$4,{"CIE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D9">
        <f>$B$3*SUMPRODUCT(Base!$AD$5:$AD$85,CHOOSE(MATCH(Inputs!$C$4,{"CIE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E9">
        <f>$B$3*SUMPRODUCT(Base!$AE$5:$AE$85,CHOOSE(MATCH(Inputs!$C$4,{"CIE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F9">
        <f>$B$3*SUMPRODUCT(Base!$AF$5:$AF$85,CHOOSE(MATCH(Inputs!$C$4,{"CIE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G9">
        <f>$B$3*SUMPRODUCT(Base!$AG$5:$AG$85,CHOOSE(MATCH(Inputs!$C$4,{"CIE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H9">
        <f>$B$3*SUMPRODUCT(Base!$AH$5:$AH$85,CHOOSE(MATCH(Inputs!$C$4,{"CIE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I9">
        <f>$B$3*SUMPRODUCT(Base!$AI$5:$AI$85,CHOOSE(MATCH(Inputs!$C$4,{"CIE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J9">
        <f>$B$3*SUMPRODUCT(Base!$AJ$5:$AJ$85,CHOOSE(MATCH(Inputs!$C$4,{"CIE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K9">
        <f>$B$3*SUMPRODUCT(Base!$AK$5:$AK$85,CHOOSE(MATCH(Inputs!$C$4,{"CIE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L9">
        <f>$B$3*SUMPRODUCT(Base!$AL$5:$AL$85,CHOOSE(MATCH(Inputs!$C$4,{"CIE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M9">
        <f>$B$3*SUMPRODUCT(Base!$AM$5:$AM$85,CHOOSE(MATCH(Inputs!$C$4,{"CIE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N9">
        <f>$B$3*SUMPRODUCT(Base!$AN$5:$AN$85,CHOOSE(MATCH(Inputs!$C$4,{"CIE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O9">
        <f>$B$3*SUMPRODUCT(Base!$AO$5:$AO$85,CHOOSE(MATCH(Inputs!$C$4,{"CIE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  <c r="AP9">
        <f>$B$3*SUMPRODUCT(Base!$AP$5:$AP$85,CHOOSE(MATCH(Inputs!$C$4,{"CIE 1931 2deg","CIE 1964 10deg","CIE 2015 2deg","Pasted below"},0),Tables!$B$5:$B$85,Tables!$E$5:$E$85,Tables!$H$5:$H$85,Inputs!$C$9:$C$89),CHOOSE(MATCH(Inputs!$C$5,{"A","C","D50","D65","E","F2","F11","Pasted below"},0),Tables!$K$5:$K$85,Tables!$L$5:$L$85,Tables!$M$5:$M$85,Tables!$N$5:$N$85,Tables!$O$5:$O$85,Tables!$P$5:$P$85,Tables!$Q$5:$Q$85,Inputs!$F$9:$F$89))</f>
        <v/>
      </c>
    </row>
    <row r="10">
      <c r="C10">
        <f>$B$3*SUMPRODUCT(Base!$C$5:$C$85,CHOOSE(MATCH(Inputs!$C$4,{"CIE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D10">
        <f>$B$3*SUMPRODUCT(Base!$D$5:$D$85,CHOOSE(MATCH(Inputs!$C$4,{"CIE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E10">
        <f>$B$3*SUMPRODUCT(Base!$E$5:$E$85,CHOOSE(MATCH(Inputs!$C$4,{"CIE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F10">
        <f>$B$3*SUMPRODUCT(Base!$F$5:$F$85,CHOOSE(MATCH(Inputs!$C$4,{"CIE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G10">
        <f>$B$3*SUMPRODUCT(Base!$G$5:$G$85,CHOOSE(MATCH(Inputs!$C$4,{"CIE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H10">
        <f>$B$3*SUMPRODUCT(Base!$H$5:$H$85,CHOOSE(MATCH(Inputs!$C$4,{"CIE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I10">
        <f>$B$3*SUMPRODUCT(Base!$I$5:$I$85,CHOOSE(MATCH(Inputs!$C$4,{"CIE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J10">
        <f>$B$3*SUMPRODUCT(Base!$J$5:$J$85,CHOOSE(MATCH(Inputs!$C$4,{"CIE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K10">
        <f>$B$3*SUMPRODUCT(Base!$K$5:$K$85,CHOOSE(MATCH(Inputs!$C$4,{"CIE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L10">
        <f>$B$3*SUMPRODUCT(Base!$L$5:$L$85,CHOOSE(MATCH(Inputs!$C$4,{"CIE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M10">
        <f>$B$3*SUMPRODUCT(Base!$M$5:$M$85,CHOOSE(MATCH(Inputs!$C$4,{"CIE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N10">
        <f>$B$3*SUMPRODUCT(Base!$N$5:$N$85,CHOOSE(MATCH(Inputs!$C$4,{"CIE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O10">
        <f>$B$3*SUMPRODUCT(Base!$O$5:$O$85,CHOOSE(MATCH(Inputs!$C$4,{"CIE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P10">
        <f>$B$3*SUMPRODUCT(Base!$P$5:$P$85,CHOOSE(MATCH(Inputs!$C$4,{"CIE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Q10">
        <f>$B$3*SUMPRODUCT(Base!$Q$5:$Q$85,CHOOSE(MATCH(Inputs!$C$4,{"CIE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R10">
        <f>$B$3*SUMPRODUCT(Base!$R$5:$R$85,CHOOSE(MATCH(Inputs!$C$4,{"CIE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S10">
        <f>$B$3*SUMPRODUCT(Base!$S$5:$S$85,CHOOSE(MATCH(Inputs!$C$4,{"CIE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T10">
        <f>$B$3*SUMPRODUCT(Base!$T$5:$T$85,CHOOSE(MATCH(Inputs!$C$4,{"CIE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U10">
        <f>$B$3*SUMPRODUCT(Base!$U$5:$U$85,CHOOSE(MATCH(Inputs!$C$4,{"CIE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V10">
        <f>$B$3*SUMPRODUCT(Base!$V$5:$V$85,CHOOSE(MATCH(Inputs!$C$4,{"CIE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W10">
        <f>$B$3*SUMPRODUCT(Base!$W$5:$W$85,CHOOSE(MATCH(Inputs!$C$4,{"CIE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X10">
        <f>$B$3*SUMPRODUCT(Base!$X$5:$X$85,CHOOSE(MATCH(Inputs!$C$4,{"CIE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Y10">
        <f>$B$3*SUMPRODUCT(Base!$Y$5:$Y$85,CHOOSE(MATCH(Inputs!$C$4,{"CIE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Z10">
        <f>$B$3*SUMPRODUCT(Base!$Z$5:$Z$85,CHOOSE(MATCH(Inputs!$C$4,{"CIE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A10">
        <f>$B$3*SUMPRODUCT(Base!$AA$5:$AA$85,CHOOSE(MATCH(Inputs!$C$4,{"CIE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B10">
        <f>$B$3*SUMPRODUCT(Base!$AB$5:$AB$85,CHOOSE(MATCH(Inputs!$C$4,{"CIE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C10">
        <f>$B$3*SUMPRODUCT(Base!$AC$5:$AC$85,CHOOSE(MATCH(Inputs!$C$4,{"CIE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D10">
        <f>$B$3*SUMPRODUCT(Base!$AD$5:$AD$85,CHOOSE(MATCH(Inputs!$C$4,{"CIE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E10">
        <f>$B$3*SUMPRODUCT(Base!$AE$5:$AE$85,CHOOSE(MATCH(Inputs!$C$4,{"CIE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F10">
        <f>$B$3*SUMPRODUCT(Base!$AF$5:$AF$85,CHOOSE(MATCH(Inputs!$C$4,{"CIE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G10">
        <f>$B$3*SUMPRODUCT(Base!$AG$5:$AG$85,CHOOSE(MATCH(Inputs!$C$4,{"CIE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H10">
        <f>$B$3*SUMPRODUCT(Base!$AH$5:$AH$85,CHOOSE(MATCH(Inputs!$C$4,{"CIE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I10">
        <f>$B$3*SUMPRODUCT(Base!$AI$5:$AI$85,CHOOSE(MATCH(Inputs!$C$4,{"CIE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J10">
        <f>$B$3*SUMPRODUCT(Base!$AJ$5:$AJ$85,CHOOSE(MATCH(Inputs!$C$4,{"CIE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K10">
        <f>$B$3*SUMPRODUCT(Base!$AK$5:$AK$85,CHOOSE(MATCH(Inputs!$C$4,{"CIE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L10">
        <f>$B$3*SUMPRODUCT(Base!$AL$5:$AL$85,CHOOSE(MATCH(Inputs!$C$4,{"CIE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M10">
        <f>$B$3*SUMPRODUCT(Base!$AM$5:$AM$85,CHOOSE(MATCH(Inputs!$C$4,{"CIE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N10">
        <f>$B$3*SUMPRODUCT(Base!$AN$5:$AN$85,CHOOSE(MATCH(Inputs!$C$4,{"CIE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O10">
        <f>$B$3*SUMPRODUCT(Base!$AO$5:$AO$85,CHOOSE(MATCH(Inputs!$C$4,{"CIE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  <c r="AP10">
        <f>$B$3*SUMPRODUCT(Base!$AP$5:$AP$85,CHOOSE(MATCH(Inputs!$C$4,{"CIE 1931 2deg","CIE 1964 10deg","CIE 2015 2deg","Pasted below"},0),Tables!$C$5:$C$85,Tables!$F$5:$F$85,Tables!$I$5:$I$85,Inputs!$D$9:$D$89),CHOOSE(MATCH(Inputs!$C$5,{"A","C","D50","D65","E","F2","F11","Pasted below"},0),Tables!$K$5:$K$85,Tables!$L$5:$L$85,Tables!$M$5:$M$85,Tables!$N$5:$N$85,Tables!$O$5:$O$85,Tables!$P$5:$P$85,Tables!$Q$5:$Q$85,Inputs!$F$9:$F$89))</f>
        <v/>
      </c>
    </row>
    <row r="11">
      <c r="C11">
        <f>$B$3*SUMPRODUCT(Base!$C$5:$C$85,CHOOSE(MATCH(Inputs!$C$4,{"CIE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D11">
        <f>$B$3*SUMPRODUCT(Base!$D$5:$D$85,CHOOSE(MATCH(Inputs!$C$4,{"CIE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E11">
        <f>$B$3*SUMPRODUCT(Base!$E$5:$E$85,CHOOSE(MATCH(Inputs!$C$4,{"CIE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F11">
        <f>$B$3*SUMPRODUCT(Base!$F$5:$F$85,CHOOSE(MATCH(Inputs!$C$4,{"CIE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G11">
        <f>$B$3*SUMPRODUCT(Base!$G$5:$G$85,CHOOSE(MATCH(Inputs!$C$4,{"CIE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H11">
        <f>$B$3*SUMPRODUCT(Base!$H$5:$H$85,CHOOSE(MATCH(Inputs!$C$4,{"CIE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I11">
        <f>$B$3*SUMPRODUCT(Base!$I$5:$I$85,CHOOSE(MATCH(Inputs!$C$4,{"CIE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J11">
        <f>$B$3*SUMPRODUCT(Base!$J$5:$J$85,CHOOSE(MATCH(Inputs!$C$4,{"CIE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K11">
        <f>$B$3*SUMPRODUCT(Base!$K$5:$K$85,CHOOSE(MATCH(Inputs!$C$4,{"CIE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L11">
        <f>$B$3*SUMPRODUCT(Base!$L$5:$L$85,CHOOSE(MATCH(Inputs!$C$4,{"CIE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M11">
        <f>$B$3*SUMPRODUCT(Base!$M$5:$M$85,CHOOSE(MATCH(Inputs!$C$4,{"CIE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N11">
        <f>$B$3*SUMPRODUCT(Base!$N$5:$N$85,CHOOSE(MATCH(Inputs!$C$4,{"CIE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O11">
        <f>$B$3*SUMPRODUCT(Base!$O$5:$O$85,CHOOSE(MATCH(Inputs!$C$4,{"CIE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P11">
        <f>$B$3*SUMPRODUCT(Base!$P$5:$P$85,CHOOSE(MATCH(Inputs!$C$4,{"CIE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Q11">
        <f>$B$3*SUMPRODUCT(Base!$Q$5:$Q$85,CHOOSE(MATCH(Inputs!$C$4,{"CIE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R11">
        <f>$B$3*SUMPRODUCT(Base!$R$5:$R$85,CHOOSE(MATCH(Inputs!$C$4,{"CIE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S11">
        <f>$B$3*SUMPRODUCT(Base!$S$5:$S$85,CHOOSE(MATCH(Inputs!$C$4,{"CIE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T11">
        <f>$B$3*SUMPRODUCT(Base!$T$5:$T$85,CHOOSE(MATCH(Inputs!$C$4,{"CIE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U11">
        <f>$B$3*SUMPRODUCT(Base!$U$5:$U$85,CHOOSE(MATCH(Inputs!$C$4,{"CIE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V11">
        <f>$B$3*SUMPRODUCT(Base!$V$5:$V$85,CHOOSE(MATCH(Inputs!$C$4,{"CIE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W11">
        <f>$B$3*SUMPRODUCT(Base!$W$5:$W$85,CHOOSE(MATCH(Inputs!$C$4,{"CIE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X11">
        <f>$B$3*SUMPRODUCT(Base!$X$5:$X$85,CHOOSE(MATCH(Inputs!$C$4,{"CIE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Y11">
        <f>$B$3*SUMPRODUCT(Base!$Y$5:$Y$85,CHOOSE(MATCH(Inputs!$C$4,{"CIE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Z11">
        <f>$B$3*SUMPRODUCT(Base!$Z$5:$Z$85,CHOOSE(MATCH(Inputs!$C$4,{"CIE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A11">
        <f>$B$3*SUMPRODUCT(Base!$AA$5:$AA$85,CHOOSE(MATCH(Inputs!$C$4,{"CIE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B11">
        <f>$B$3*SUMPRODUCT(Base!$AB$5:$AB$85,CHOOSE(MATCH(Inputs!$C$4,{"CIE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C11">
        <f>$B$3*SUMPRODUCT(Base!$AC$5:$AC$85,CHOOSE(MATCH(Inputs!$C$4,{"CIE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D11">
        <f>$B$3*SUMPRODUCT(Base!$AD$5:$AD$85,CHOOSE(MATCH(Inputs!$C$4,{"CIE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E11">
        <f>$B$3*SUMPRODUCT(Base!$AE$5:$AE$85,CHOOSE(MATCH(Inputs!$C$4,{"CIE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F11">
        <f>$B$3*SUMPRODUCT(Base!$AF$5:$AF$85,CHOOSE(MATCH(Inputs!$C$4,{"CIE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G11">
        <f>$B$3*SUMPRODUCT(Base!$AG$5:$AG$85,CHOOSE(MATCH(Inputs!$C$4,{"CIE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H11">
        <f>$B$3*SUMPRODUCT(Base!$AH$5:$AH$85,CHOOSE(MATCH(Inputs!$C$4,{"CIE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I11">
        <f>$B$3*SUMPRODUCT(Base!$AI$5:$AI$85,CHOOSE(MATCH(Inputs!$C$4,{"CIE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J11">
        <f>$B$3*SUMPRODUCT(Base!$AJ$5:$AJ$85,CHOOSE(MATCH(Inputs!$C$4,{"CIE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K11">
        <f>$B$3*SUMPRODUCT(Base!$AK$5:$AK$85,CHOOSE(MATCH(Inputs!$C$4,{"CIE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L11">
        <f>$B$3*SUMPRODUCT(Base!$AL$5:$AL$85,CHOOSE(MATCH(Inputs!$C$4,{"CIE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M11">
        <f>$B$3*SUMPRODUCT(Base!$AM$5:$AM$85,CHOOSE(MATCH(Inputs!$C$4,{"CIE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N11">
        <f>$B$3*SUMPRODUCT(Base!$AN$5:$AN$85,CHOOSE(MATCH(Inputs!$C$4,{"CIE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O11">
        <f>$B$3*SUMPRODUCT(Base!$AO$5:$AO$85,CHOOSE(MATCH(Inputs!$C$4,{"CIE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  <c r="AP11">
        <f>$B$3*SUMPRODUCT(Base!$AP$5:$AP$85,CHOOSE(MATCH(Inputs!$C$4,{"CIE 1931 2deg","CIE 1964 10deg","CIE 2015 2deg","Pasted below"},0),Tables!$D$5:$D$85,Tables!$G$5:$G$85,Tables!$J$5:$J$85,Inputs!$E$9:$E$89),CHOOSE(MATCH(Inputs!$C$5,{"A","C","D50","D65","E","F2","F11","Pasted below"},0),Tables!$K$5:$K$85,Tables!$L$5:$L$85,Tables!$M$5:$M$85,Tables!$N$5:$N$85,Tables!$O$5:$O$85,Tables!$P$5:$P$85,Tables!$Q$5:$Q$85,Inputs!$F$9:$F$89))</f>
        <v/>
      </c>
    </row>
    <row r="13">
      <c r="A13" t="inlineStr">
        <is>
          <t>Step 1. Rotate white onto the first axis</t>
        </is>
      </c>
    </row>
    <row r="14">
      <c r="A14" t="inlineStr">
        <is>
          <t>phi3</t>
        </is>
      </c>
      <c r="B14">
        <f>-ATAN2($C$6,$D$6)</f>
        <v/>
      </c>
    </row>
    <row r="15">
      <c r="B15">
        <f>1</f>
        <v/>
      </c>
      <c r="C15">
        <f>0</f>
        <v/>
      </c>
      <c r="D15">
        <f>0</f>
        <v/>
      </c>
    </row>
    <row r="16">
      <c r="B16">
        <f>0</f>
        <v/>
      </c>
      <c r="C16">
        <f>COS($B$14)</f>
        <v/>
      </c>
      <c r="D16">
        <f>-SIN($B$14)</f>
        <v/>
      </c>
    </row>
    <row r="17">
      <c r="B17">
        <f>0</f>
        <v/>
      </c>
      <c r="C17">
        <f>SIN($B$14)</f>
        <v/>
      </c>
      <c r="D17">
        <f>COS($B$14)</f>
        <v/>
      </c>
    </row>
    <row r="19">
      <c r="A19" t="inlineStr">
        <is>
          <t>white after R3</t>
        </is>
      </c>
      <c r="B19">
        <f>$B$15*$B$6+$C$15*$C$6+$D$15*$D$6</f>
        <v/>
      </c>
      <c r="C19">
        <f>$B$16*$B$6+$C$16*$C$6+$D$16*$D$6</f>
        <v/>
      </c>
      <c r="D19">
        <f>$B$17*$B$6+$C$17*$C$6+$D$17*$D$6</f>
        <v/>
      </c>
    </row>
    <row r="20">
      <c r="A20" t="inlineStr">
        <is>
          <t>phi2</t>
        </is>
      </c>
      <c r="B20">
        <f>-ATAN2($B$19,$C$19)</f>
        <v/>
      </c>
    </row>
    <row r="21">
      <c r="B21">
        <f>COS($B$20)</f>
        <v/>
      </c>
      <c r="C21">
        <f>-SIN($B$20)</f>
        <v/>
      </c>
      <c r="D21">
        <f>0</f>
        <v/>
      </c>
    </row>
    <row r="22">
      <c r="B22">
        <f>SIN($B$20)</f>
        <v/>
      </c>
      <c r="C22">
        <f>COS($B$20)</f>
        <v/>
      </c>
      <c r="D22">
        <f>0</f>
        <v/>
      </c>
    </row>
    <row r="23">
      <c r="B23">
        <f>0</f>
        <v/>
      </c>
      <c r="C23">
        <f>0</f>
        <v/>
      </c>
      <c r="D23">
        <f>1</f>
        <v/>
      </c>
    </row>
    <row r="25">
      <c r="A25" t="inlineStr">
        <is>
          <t>R = R2 R3</t>
        </is>
      </c>
      <c r="B25">
        <f>$B$21*$B$15+$C$21*$B$16+$D$21*$B$17</f>
        <v/>
      </c>
      <c r="C25">
        <f>$B$21*$C$15+$C$21*$C$16+$D$21*$C$17</f>
        <v/>
      </c>
      <c r="D25">
        <f>$B$21*$D$15+$C$21*$D$16+$D$21*$D$17</f>
        <v/>
      </c>
    </row>
    <row r="26">
      <c r="B26">
        <f>$B$22*$B$15+$C$22*$B$16+$D$22*$B$17</f>
        <v/>
      </c>
      <c r="C26">
        <f>$B$22*$C$15+$C$22*$C$16+$D$22*$C$17</f>
        <v/>
      </c>
      <c r="D26">
        <f>$B$22*$D$15+$C$22*$D$16+$D$22*$D$17</f>
        <v/>
      </c>
    </row>
    <row r="27">
      <c r="B27">
        <f>$B$23*$B$15+$C$23*$B$16+$D$23*$B$17</f>
        <v/>
      </c>
      <c r="C27">
        <f>$B$23*$C$15+$C$23*$C$16+$D$23*$C$17</f>
        <v/>
      </c>
      <c r="D27">
        <f>$B$23*$D$15+$C$23*$D$16+$D$23*$D$17</f>
        <v/>
      </c>
    </row>
    <row r="29">
      <c r="A29" t="inlineStr">
        <is>
          <t>Step 2. White W</t>
        </is>
      </c>
      <c r="B29">
        <f>$B$25*$B$6+$C$25*$C$6+$D$25*$D$6</f>
        <v/>
      </c>
    </row>
    <row r="31">
      <c r="A31" t="inlineStr">
        <is>
          <t>M1</t>
        </is>
      </c>
      <c r="B31">
        <f>$B$25*100/$B$29</f>
        <v/>
      </c>
      <c r="C31">
        <f>$C$25*100/$B$29</f>
        <v/>
      </c>
      <c r="D31">
        <f>$D$25*100/$B$29</f>
        <v/>
      </c>
    </row>
    <row r="32">
      <c r="B32">
        <f>$B$26</f>
        <v/>
      </c>
      <c r="C32">
        <f>$C$26</f>
        <v/>
      </c>
      <c r="D32">
        <f>$D$26</f>
        <v/>
      </c>
    </row>
    <row r="33">
      <c r="B33">
        <f>$B$27</f>
        <v/>
      </c>
      <c r="C33">
        <f>$C$27</f>
        <v/>
      </c>
      <c r="D33">
        <f>$D$27</f>
        <v/>
      </c>
    </row>
    <row r="35">
      <c r="A35" t="inlineStr">
        <is>
          <t>Step 3. M1 times base XYZ (u, v, z in rows 35-37)</t>
        </is>
      </c>
      <c r="C35">
        <f>$B$31*C9+$C$31*C10+$D$31*C11</f>
        <v/>
      </c>
      <c r="D35">
        <f>$B$31*D9+$C$31*D10+$D$31*D11</f>
        <v/>
      </c>
      <c r="E35">
        <f>$B$31*E9+$C$31*E10+$D$31*E11</f>
        <v/>
      </c>
      <c r="F35">
        <f>$B$31*F9+$C$31*F10+$D$31*F11</f>
        <v/>
      </c>
      <c r="G35">
        <f>$B$31*G9+$C$31*G10+$D$31*G11</f>
        <v/>
      </c>
      <c r="H35">
        <f>$B$31*H9+$C$31*H10+$D$31*H11</f>
        <v/>
      </c>
      <c r="I35">
        <f>$B$31*I9+$C$31*I10+$D$31*I11</f>
        <v/>
      </c>
      <c r="J35">
        <f>$B$31*J9+$C$31*J10+$D$31*J11</f>
        <v/>
      </c>
      <c r="K35">
        <f>$B$31*K9+$C$31*K10+$D$31*K11</f>
        <v/>
      </c>
      <c r="L35">
        <f>$B$31*L9+$C$31*L10+$D$31*L11</f>
        <v/>
      </c>
      <c r="M35">
        <f>$B$31*M9+$C$31*M10+$D$31*M11</f>
        <v/>
      </c>
      <c r="N35">
        <f>$B$31*N9+$C$31*N10+$D$31*N11</f>
        <v/>
      </c>
      <c r="O35">
        <f>$B$31*O9+$C$31*O10+$D$31*O11</f>
        <v/>
      </c>
      <c r="P35">
        <f>$B$31*P9+$C$31*P10+$D$31*P11</f>
        <v/>
      </c>
      <c r="Q35">
        <f>$B$31*Q9+$C$31*Q10+$D$31*Q11</f>
        <v/>
      </c>
      <c r="R35">
        <f>$B$31*R9+$C$31*R10+$D$31*R11</f>
        <v/>
      </c>
      <c r="S35">
        <f>$B$31*S9+$C$31*S10+$D$31*S11</f>
        <v/>
      </c>
      <c r="T35">
        <f>$B$31*T9+$C$31*T10+$D$31*T11</f>
        <v/>
      </c>
      <c r="U35">
        <f>$B$31*U9+$C$31*U10+$D$31*U11</f>
        <v/>
      </c>
      <c r="V35">
        <f>$B$31*V9+$C$31*V10+$D$31*V11</f>
        <v/>
      </c>
      <c r="W35">
        <f>$B$31*W9+$C$31*W10+$D$31*W11</f>
        <v/>
      </c>
      <c r="X35">
        <f>$B$31*X9+$C$31*X10+$D$31*X11</f>
        <v/>
      </c>
      <c r="Y35">
        <f>$B$31*Y9+$C$31*Y10+$D$31*Y11</f>
        <v/>
      </c>
      <c r="Z35">
        <f>$B$31*Z9+$C$31*Z10+$D$31*Z11</f>
        <v/>
      </c>
      <c r="AA35">
        <f>$B$31*AA9+$C$31*AA10+$D$31*AA11</f>
        <v/>
      </c>
      <c r="AB35">
        <f>$B$31*AB9+$C$31*AB10+$D$31*AB11</f>
        <v/>
      </c>
      <c r="AC35">
        <f>$B$31*AC9+$C$31*AC10+$D$31*AC11</f>
        <v/>
      </c>
      <c r="AD35">
        <f>$B$31*AD9+$C$31*AD10+$D$31*AD11</f>
        <v/>
      </c>
      <c r="AE35">
        <f>$B$31*AE9+$C$31*AE10+$D$31*AE11</f>
        <v/>
      </c>
      <c r="AF35">
        <f>$B$31*AF9+$C$31*AF10+$D$31*AF11</f>
        <v/>
      </c>
      <c r="AG35">
        <f>$B$31*AG9+$C$31*AG10+$D$31*AG11</f>
        <v/>
      </c>
      <c r="AH35">
        <f>$B$31*AH9+$C$31*AH10+$D$31*AH11</f>
        <v/>
      </c>
      <c r="AI35">
        <f>$B$31*AI9+$C$31*AI10+$D$31*AI11</f>
        <v/>
      </c>
      <c r="AJ35">
        <f>$B$31*AJ9+$C$31*AJ10+$D$31*AJ11</f>
        <v/>
      </c>
      <c r="AK35">
        <f>$B$31*AK9+$C$31*AK10+$D$31*AK11</f>
        <v/>
      </c>
      <c r="AL35">
        <f>$B$31*AL9+$C$31*AL10+$D$31*AL11</f>
        <v/>
      </c>
      <c r="AM35">
        <f>$B$31*AM9+$C$31*AM10+$D$31*AM11</f>
        <v/>
      </c>
      <c r="AN35">
        <f>$B$31*AN9+$C$31*AN10+$D$31*AN11</f>
        <v/>
      </c>
      <c r="AO35">
        <f>$B$31*AO9+$C$31*AO10+$D$31*AO11</f>
        <v/>
      </c>
      <c r="AP35">
        <f>$B$31*AP9+$C$31*AP10+$D$31*AP11</f>
        <v/>
      </c>
    </row>
    <row r="36">
      <c r="C36">
        <f>$B$32*C9+$C$32*C10+$D$32*C11</f>
        <v/>
      </c>
      <c r="D36">
        <f>$B$32*D9+$C$32*D10+$D$32*D11</f>
        <v/>
      </c>
      <c r="E36">
        <f>$B$32*E9+$C$32*E10+$D$32*E11</f>
        <v/>
      </c>
      <c r="F36">
        <f>$B$32*F9+$C$32*F10+$D$32*F11</f>
        <v/>
      </c>
      <c r="G36">
        <f>$B$32*G9+$C$32*G10+$D$32*G11</f>
        <v/>
      </c>
      <c r="H36">
        <f>$B$32*H9+$C$32*H10+$D$32*H11</f>
        <v/>
      </c>
      <c r="I36">
        <f>$B$32*I9+$C$32*I10+$D$32*I11</f>
        <v/>
      </c>
      <c r="J36">
        <f>$B$32*J9+$C$32*J10+$D$32*J11</f>
        <v/>
      </c>
      <c r="K36">
        <f>$B$32*K9+$C$32*K10+$D$32*K11</f>
        <v/>
      </c>
      <c r="L36">
        <f>$B$32*L9+$C$32*L10+$D$32*L11</f>
        <v/>
      </c>
      <c r="M36">
        <f>$B$32*M9+$C$32*M10+$D$32*M11</f>
        <v/>
      </c>
      <c r="N36">
        <f>$B$32*N9+$C$32*N10+$D$32*N11</f>
        <v/>
      </c>
      <c r="O36">
        <f>$B$32*O9+$C$32*O10+$D$32*O11</f>
        <v/>
      </c>
      <c r="P36">
        <f>$B$32*P9+$C$32*P10+$D$32*P11</f>
        <v/>
      </c>
      <c r="Q36">
        <f>$B$32*Q9+$C$32*Q10+$D$32*Q11</f>
        <v/>
      </c>
      <c r="R36">
        <f>$B$32*R9+$C$32*R10+$D$32*R11</f>
        <v/>
      </c>
      <c r="S36">
        <f>$B$32*S9+$C$32*S10+$D$32*S11</f>
        <v/>
      </c>
      <c r="T36">
        <f>$B$32*T9+$C$32*T10+$D$32*T11</f>
        <v/>
      </c>
      <c r="U36">
        <f>$B$32*U9+$C$32*U10+$D$32*U11</f>
        <v/>
      </c>
      <c r="V36">
        <f>$B$32*V9+$C$32*V10+$D$32*V11</f>
        <v/>
      </c>
      <c r="W36">
        <f>$B$32*W9+$C$32*W10+$D$32*W11</f>
        <v/>
      </c>
      <c r="X36">
        <f>$B$32*X9+$C$32*X10+$D$32*X11</f>
        <v/>
      </c>
      <c r="Y36">
        <f>$B$32*Y9+$C$32*Y10+$D$32*Y11</f>
        <v/>
      </c>
      <c r="Z36">
        <f>$B$32*Z9+$C$32*Z10+$D$32*Z11</f>
        <v/>
      </c>
      <c r="AA36">
        <f>$B$32*AA9+$C$32*AA10+$D$32*AA11</f>
        <v/>
      </c>
      <c r="AB36">
        <f>$B$32*AB9+$C$32*AB10+$D$32*AB11</f>
        <v/>
      </c>
      <c r="AC36">
        <f>$B$32*AC9+$C$32*AC10+$D$32*AC11</f>
        <v/>
      </c>
      <c r="AD36">
        <f>$B$32*AD9+$C$32*AD10+$D$32*AD11</f>
        <v/>
      </c>
      <c r="AE36">
        <f>$B$32*AE9+$C$32*AE10+$D$32*AE11</f>
        <v/>
      </c>
      <c r="AF36">
        <f>$B$32*AF9+$C$32*AF10+$D$32*AF11</f>
        <v/>
      </c>
      <c r="AG36">
        <f>$B$32*AG9+$C$32*AG10+$D$32*AG11</f>
        <v/>
      </c>
      <c r="AH36">
        <f>$B$32*AH9+$C$32*AH10+$D$32*AH11</f>
        <v/>
      </c>
      <c r="AI36">
        <f>$B$32*AI9+$C$32*AI10+$D$32*AI11</f>
        <v/>
      </c>
      <c r="AJ36">
        <f>$B$32*AJ9+$C$32*AJ10+$D$32*AJ11</f>
        <v/>
      </c>
      <c r="AK36">
        <f>$B$32*AK9+$C$32*AK10+$D$32*AK11</f>
        <v/>
      </c>
      <c r="AL36">
        <f>$B$32*AL9+$C$32*AL10+$D$32*AL11</f>
        <v/>
      </c>
      <c r="AM36">
        <f>$B$32*AM9+$C$32*AM10+$D$32*AM11</f>
        <v/>
      </c>
      <c r="AN36">
        <f>$B$32*AN9+$C$32*AN10+$D$32*AN11</f>
        <v/>
      </c>
      <c r="AO36">
        <f>$B$32*AO9+$C$32*AO10+$D$32*AO11</f>
        <v/>
      </c>
      <c r="AP36">
        <f>$B$32*AP9+$C$32*AP10+$D$32*AP11</f>
        <v/>
      </c>
    </row>
    <row r="37">
      <c r="C37">
        <f>$B$33*C9+$C$33*C10+$D$33*C11</f>
        <v/>
      </c>
      <c r="D37">
        <f>$B$33*D9+$C$33*D10+$D$33*D11</f>
        <v/>
      </c>
      <c r="E37">
        <f>$B$33*E9+$C$33*E10+$D$33*E11</f>
        <v/>
      </c>
      <c r="F37">
        <f>$B$33*F9+$C$33*F10+$D$33*F11</f>
        <v/>
      </c>
      <c r="G37">
        <f>$B$33*G9+$C$33*G10+$D$33*G11</f>
        <v/>
      </c>
      <c r="H37">
        <f>$B$33*H9+$C$33*H10+$D$33*H11</f>
        <v/>
      </c>
      <c r="I37">
        <f>$B$33*I9+$C$33*I10+$D$33*I11</f>
        <v/>
      </c>
      <c r="J37">
        <f>$B$33*J9+$C$33*J10+$D$33*J11</f>
        <v/>
      </c>
      <c r="K37">
        <f>$B$33*K9+$C$33*K10+$D$33*K11</f>
        <v/>
      </c>
      <c r="L37">
        <f>$B$33*L9+$C$33*L10+$D$33*L11</f>
        <v/>
      </c>
      <c r="M37">
        <f>$B$33*M9+$C$33*M10+$D$33*M11</f>
        <v/>
      </c>
      <c r="N37">
        <f>$B$33*N9+$C$33*N10+$D$33*N11</f>
        <v/>
      </c>
      <c r="O37">
        <f>$B$33*O9+$C$33*O10+$D$33*O11</f>
        <v/>
      </c>
      <c r="P37">
        <f>$B$33*P9+$C$33*P10+$D$33*P11</f>
        <v/>
      </c>
      <c r="Q37">
        <f>$B$33*Q9+$C$33*Q10+$D$33*Q11</f>
        <v/>
      </c>
      <c r="R37">
        <f>$B$33*R9+$C$33*R10+$D$33*R11</f>
        <v/>
      </c>
      <c r="S37">
        <f>$B$33*S9+$C$33*S10+$D$33*S11</f>
        <v/>
      </c>
      <c r="T37">
        <f>$B$33*T9+$C$33*T10+$D$33*T11</f>
        <v/>
      </c>
      <c r="U37">
        <f>$B$33*U9+$C$33*U10+$D$33*U11</f>
        <v/>
      </c>
      <c r="V37">
        <f>$B$33*V9+$C$33*V10+$D$33*V11</f>
        <v/>
      </c>
      <c r="W37">
        <f>$B$33*W9+$C$33*W10+$D$33*W11</f>
        <v/>
      </c>
      <c r="X37">
        <f>$B$33*X9+$C$33*X10+$D$33*X11</f>
        <v/>
      </c>
      <c r="Y37">
        <f>$B$33*Y9+$C$33*Y10+$D$33*Y11</f>
        <v/>
      </c>
      <c r="Z37">
        <f>$B$33*Z9+$C$33*Z10+$D$33*Z11</f>
        <v/>
      </c>
      <c r="AA37">
        <f>$B$33*AA9+$C$33*AA10+$D$33*AA11</f>
        <v/>
      </c>
      <c r="AB37">
        <f>$B$33*AB9+$C$33*AB10+$D$33*AB11</f>
        <v/>
      </c>
      <c r="AC37">
        <f>$B$33*AC9+$C$33*AC10+$D$33*AC11</f>
        <v/>
      </c>
      <c r="AD37">
        <f>$B$33*AD9+$C$33*AD10+$D$33*AD11</f>
        <v/>
      </c>
      <c r="AE37">
        <f>$B$33*AE9+$C$33*AE10+$D$33*AE11</f>
        <v/>
      </c>
      <c r="AF37">
        <f>$B$33*AF9+$C$33*AF10+$D$33*AF11</f>
        <v/>
      </c>
      <c r="AG37">
        <f>$B$33*AG9+$C$33*AG10+$D$33*AG11</f>
        <v/>
      </c>
      <c r="AH37">
        <f>$B$33*AH9+$C$33*AH10+$D$33*AH11</f>
        <v/>
      </c>
      <c r="AI37">
        <f>$B$33*AI9+$C$33*AI10+$D$33*AI11</f>
        <v/>
      </c>
      <c r="AJ37">
        <f>$B$33*AJ9+$C$33*AJ10+$D$33*AJ11</f>
        <v/>
      </c>
      <c r="AK37">
        <f>$B$33*AK9+$C$33*AK10+$D$33*AK11</f>
        <v/>
      </c>
      <c r="AL37">
        <f>$B$33*AL9+$C$33*AL10+$D$33*AL11</f>
        <v/>
      </c>
      <c r="AM37">
        <f>$B$33*AM9+$C$33*AM10+$D$33*AM11</f>
        <v/>
      </c>
      <c r="AN37">
        <f>$B$33*AN9+$C$33*AN10+$D$33*AN11</f>
        <v/>
      </c>
      <c r="AO37">
        <f>$B$33*AO9+$C$33*AO10+$D$33*AO11</f>
        <v/>
      </c>
      <c r="AP37">
        <f>$B$33*AP9+$C$33*AP10+$D$33*AP11</f>
        <v/>
      </c>
    </row>
    <row r="39">
      <c r="B39" t="inlineStr">
        <is>
          <t>Svv</t>
        </is>
      </c>
      <c r="C39" t="inlineStr">
        <is>
          <t>Svz</t>
        </is>
      </c>
      <c r="D39" t="inlineStr">
        <is>
          <t>Sv</t>
        </is>
      </c>
      <c r="E39" t="inlineStr">
        <is>
          <t>Szz</t>
        </is>
      </c>
      <c r="F39" t="inlineStr">
        <is>
          <t>Sz</t>
        </is>
      </c>
      <c r="G39" t="inlineStr">
        <is>
          <t>n</t>
        </is>
      </c>
      <c r="H39" t="inlineStr">
        <is>
          <t>Suv</t>
        </is>
      </c>
      <c r="I39" t="inlineStr">
        <is>
          <t>Suz</t>
        </is>
      </c>
      <c r="J39" t="inlineStr">
        <is>
          <t>Su</t>
        </is>
      </c>
    </row>
    <row r="40">
      <c r="B40">
        <f>SUMPRODUCT($C$36:$AP$36,$C$36:$AP$36)</f>
        <v/>
      </c>
      <c r="C40">
        <f>SUMPRODUCT($C$36:$AP$36,$C$37:$AP$37)</f>
        <v/>
      </c>
      <c r="D40">
        <f>SUM($C$36:$AP$36)</f>
        <v/>
      </c>
      <c r="E40">
        <f>SUMPRODUCT($C$37:$AP$37,$C$37:$AP$37)</f>
        <v/>
      </c>
      <c r="F40">
        <f>SUM($C$37:$AP$37)</f>
        <v/>
      </c>
      <c r="G40">
        <f>COUNT($C$35:$AP$35)</f>
        <v/>
      </c>
      <c r="H40">
        <f>SUMPRODUCT($C$35:$AP$35,$C$36:$AP$36)</f>
        <v/>
      </c>
      <c r="I40">
        <f>SUMPRODUCT($C$35:$AP$35,$C$37:$AP$37)</f>
        <v/>
      </c>
      <c r="J40">
        <f>SUM($C$35:$AP$35)</f>
        <v/>
      </c>
    </row>
    <row r="42">
      <c r="A42" t="inlineStr">
        <is>
          <t>det</t>
        </is>
      </c>
      <c r="B42">
        <f>($B$40*($E$40*$G$40-$F$40*$F$40)-$C$40*($C$40*$G$40-$F$40*$D$40)+$D$40*($C$40*$F$40-$E$40*$D$40))</f>
        <v/>
      </c>
    </row>
    <row r="43">
      <c r="A43" t="inlineStr">
        <is>
          <t>alpha1, alpha2, alpha0</t>
        </is>
      </c>
      <c r="B43">
        <f>($H$40*($E$40*$G$40-$F$40*$F$40)-$C$40*($I$40*$G$40-$F$40*$J$40)+$D$40*($I$40*$F$40-$E$40*$J$40))/$B$42</f>
        <v/>
      </c>
      <c r="C43">
        <f>($B$40*($I$40*$G$40-$F$40*$J$40)-$H$40*($C$40*$G$40-$F$40*$D$40)+$D$40*($C$40*$J$40-$I$40*$D$40))/$B$42</f>
        <v/>
      </c>
      <c r="D43">
        <f>($B$40*($E$40*$J$40-$I$40*$F$40)-$C$40*($C$40*$J$40-$I$40*$D$40)+$H$40*($C$40*$F$40-$E$40*$D$40))/$B$42</f>
        <v/>
      </c>
    </row>
    <row r="45">
      <c r="A45" t="inlineStr">
        <is>
          <t>M2 (leveled)</t>
        </is>
      </c>
      <c r="B45">
        <f>$B$31-$B$43*$B$32-$C$43*$B$33</f>
        <v/>
      </c>
      <c r="C45">
        <f>$C$31-$B$43*$C$32-$C$43*$C$33</f>
        <v/>
      </c>
      <c r="D45">
        <f>$D$31-$B$43*$D$32-$C$43*$D$33</f>
        <v/>
      </c>
    </row>
    <row r="46">
      <c r="B46">
        <f>$B$32</f>
        <v/>
      </c>
      <c r="C46">
        <f>$C$32</f>
        <v/>
      </c>
      <c r="D46">
        <f>$D$32</f>
        <v/>
      </c>
    </row>
    <row r="47">
      <c r="B47">
        <f>$B$33</f>
        <v/>
      </c>
      <c r="C47">
        <f>$C$33</f>
        <v/>
      </c>
      <c r="D47">
        <f>$D$33</f>
        <v/>
      </c>
    </row>
    <row r="49">
      <c r="A49" t="inlineStr">
        <is>
          <t>Step 4. q = rows 2-3 of M2 times base XYZ (rows 49-50)</t>
        </is>
      </c>
      <c r="C49">
        <f>$B$46*C9+$C$46*C10+$D$46*C11</f>
        <v/>
      </c>
      <c r="D49">
        <f>$B$46*D9+$C$46*D10+$D$46*D11</f>
        <v/>
      </c>
      <c r="E49">
        <f>$B$46*E9+$C$46*E10+$D$46*E11</f>
        <v/>
      </c>
      <c r="F49">
        <f>$B$46*F9+$C$46*F10+$D$46*F11</f>
        <v/>
      </c>
      <c r="G49">
        <f>$B$46*G9+$C$46*G10+$D$46*G11</f>
        <v/>
      </c>
      <c r="H49">
        <f>$B$46*H9+$C$46*H10+$D$46*H11</f>
        <v/>
      </c>
      <c r="I49">
        <f>$B$46*I9+$C$46*I10+$D$46*I11</f>
        <v/>
      </c>
      <c r="J49">
        <f>$B$46*J9+$C$46*J10+$D$46*J11</f>
        <v/>
      </c>
      <c r="K49">
        <f>$B$46*K9+$C$46*K10+$D$46*K11</f>
        <v/>
      </c>
      <c r="L49">
        <f>$B$46*L9+$C$46*L10+$D$46*L11</f>
        <v/>
      </c>
      <c r="M49">
        <f>$B$46*M9+$C$46*M10+$D$46*M11</f>
        <v/>
      </c>
      <c r="N49">
        <f>$B$46*N9+$C$46*N10+$D$46*N11</f>
        <v/>
      </c>
      <c r="O49">
        <f>$B$46*O9+$C$46*O10+$D$46*O11</f>
        <v/>
      </c>
      <c r="P49">
        <f>$B$46*P9+$C$46*P10+$D$46*P11</f>
        <v/>
      </c>
      <c r="Q49">
        <f>$B$46*Q9+$C$46*Q10+$D$46*Q11</f>
        <v/>
      </c>
      <c r="R49">
        <f>$B$46*R9+$C$46*R10+$D$46*R11</f>
        <v/>
      </c>
      <c r="S49">
        <f>$B$46*S9+$C$46*S10+$D$46*S11</f>
        <v/>
      </c>
      <c r="T49">
        <f>$B$46*T9+$C$46*T10+$D$46*T11</f>
        <v/>
      </c>
      <c r="U49">
        <f>$B$46*U9+$C$46*U10+$D$46*U11</f>
        <v/>
      </c>
      <c r="V49">
        <f>$B$46*V9+$C$46*V10+$D$46*V11</f>
        <v/>
      </c>
      <c r="W49">
        <f>$B$46*W9+$C$46*W10+$D$46*W11</f>
        <v/>
      </c>
      <c r="X49">
        <f>$B$46*X9+$C$46*X10+$D$46*X11</f>
        <v/>
      </c>
      <c r="Y49">
        <f>$B$46*Y9+$C$46*Y10+$D$46*Y11</f>
        <v/>
      </c>
      <c r="Z49">
        <f>$B$46*Z9+$C$46*Z10+$D$46*Z11</f>
        <v/>
      </c>
      <c r="AA49">
        <f>$B$46*AA9+$C$46*AA10+$D$46*AA11</f>
        <v/>
      </c>
      <c r="AB49">
        <f>$B$46*AB9+$C$46*AB10+$D$46*AB11</f>
        <v/>
      </c>
      <c r="AC49">
        <f>$B$46*AC9+$C$46*AC10+$D$46*AC11</f>
        <v/>
      </c>
      <c r="AD49">
        <f>$B$46*AD9+$C$46*AD10+$D$46*AD11</f>
        <v/>
      </c>
      <c r="AE49">
        <f>$B$46*AE9+$C$46*AE10+$D$46*AE11</f>
        <v/>
      </c>
      <c r="AF49">
        <f>$B$46*AF9+$C$46*AF10+$D$46*AF11</f>
        <v/>
      </c>
      <c r="AG49">
        <f>$B$46*AG9+$C$46*AG10+$D$46*AG11</f>
        <v/>
      </c>
      <c r="AH49">
        <f>$B$46*AH9+$C$46*AH10+$D$46*AH11</f>
        <v/>
      </c>
      <c r="AI49">
        <f>$B$46*AI9+$C$46*AI10+$D$46*AI11</f>
        <v/>
      </c>
      <c r="AJ49">
        <f>$B$46*AJ9+$C$46*AJ10+$D$46*AJ11</f>
        <v/>
      </c>
      <c r="AK49">
        <f>$B$46*AK9+$C$46*AK10+$D$46*AK11</f>
        <v/>
      </c>
      <c r="AL49">
        <f>$B$46*AL9+$C$46*AL10+$D$46*AL11</f>
        <v/>
      </c>
      <c r="AM49">
        <f>$B$46*AM9+$C$46*AM10+$D$46*AM11</f>
        <v/>
      </c>
      <c r="AN49">
        <f>$B$46*AN9+$C$46*AN10+$D$46*AN11</f>
        <v/>
      </c>
      <c r="AO49">
        <f>$B$46*AO9+$C$46*AO10+$D$46*AO11</f>
        <v/>
      </c>
      <c r="AP49">
        <f>$B$46*AP9+$C$46*AP10+$D$46*AP11</f>
        <v/>
      </c>
    </row>
    <row r="50">
      <c r="C50">
        <f>$B$47*C9+$C$47*C10+$D$47*C11</f>
        <v/>
      </c>
      <c r="D50">
        <f>$B$47*D9+$C$47*D10+$D$47*D11</f>
        <v/>
      </c>
      <c r="E50">
        <f>$B$47*E9+$C$47*E10+$D$47*E11</f>
        <v/>
      </c>
      <c r="F50">
        <f>$B$47*F9+$C$47*F10+$D$47*F11</f>
        <v/>
      </c>
      <c r="G50">
        <f>$B$47*G9+$C$47*G10+$D$47*G11</f>
        <v/>
      </c>
      <c r="H50">
        <f>$B$47*H9+$C$47*H10+$D$47*H11</f>
        <v/>
      </c>
      <c r="I50">
        <f>$B$47*I9+$C$47*I10+$D$47*I11</f>
        <v/>
      </c>
      <c r="J50">
        <f>$B$47*J9+$C$47*J10+$D$47*J11</f>
        <v/>
      </c>
      <c r="K50">
        <f>$B$47*K9+$C$47*K10+$D$47*K11</f>
        <v/>
      </c>
      <c r="L50">
        <f>$B$47*L9+$C$47*L10+$D$47*L11</f>
        <v/>
      </c>
      <c r="M50">
        <f>$B$47*M9+$C$47*M10+$D$47*M11</f>
        <v/>
      </c>
      <c r="N50">
        <f>$B$47*N9+$C$47*N10+$D$47*N11</f>
        <v/>
      </c>
      <c r="O50">
        <f>$B$47*O9+$C$47*O10+$D$47*O11</f>
        <v/>
      </c>
      <c r="P50">
        <f>$B$47*P9+$C$47*P10+$D$47*P11</f>
        <v/>
      </c>
      <c r="Q50">
        <f>$B$47*Q9+$C$47*Q10+$D$47*Q11</f>
        <v/>
      </c>
      <c r="R50">
        <f>$B$47*R9+$C$47*R10+$D$47*R11</f>
        <v/>
      </c>
      <c r="S50">
        <f>$B$47*S9+$C$47*S10+$D$47*S11</f>
        <v/>
      </c>
      <c r="T50">
        <f>$B$47*T9+$C$47*T10+$D$47*T11</f>
        <v/>
      </c>
      <c r="U50">
        <f>$B$47*U9+$C$47*U10+$D$47*U11</f>
        <v/>
      </c>
      <c r="V50">
        <f>$B$47*V9+$C$47*V10+$D$47*V11</f>
        <v/>
      </c>
      <c r="W50">
        <f>$B$47*W9+$C$47*W10+$D$47*W11</f>
        <v/>
      </c>
      <c r="X50">
        <f>$B$47*X9+$C$47*X10+$D$47*X11</f>
        <v/>
      </c>
      <c r="Y50">
        <f>$B$47*Y9+$C$47*Y10+$D$47*Y11</f>
        <v/>
      </c>
      <c r="Z50">
        <f>$B$47*Z9+$C$47*Z10+$D$47*Z11</f>
        <v/>
      </c>
      <c r="AA50">
        <f>$B$47*AA9+$C$47*AA10+$D$47*AA11</f>
        <v/>
      </c>
      <c r="AB50">
        <f>$B$47*AB9+$C$47*AB10+$D$47*AB11</f>
        <v/>
      </c>
      <c r="AC50">
        <f>$B$47*AC9+$C$47*AC10+$D$47*AC11</f>
        <v/>
      </c>
      <c r="AD50">
        <f>$B$47*AD9+$C$47*AD10+$D$47*AD11</f>
        <v/>
      </c>
      <c r="AE50">
        <f>$B$47*AE9+$C$47*AE10+$D$47*AE11</f>
        <v/>
      </c>
      <c r="AF50">
        <f>$B$47*AF9+$C$47*AF10+$D$47*AF11</f>
        <v/>
      </c>
      <c r="AG50">
        <f>$B$47*AG9+$C$47*AG10+$D$47*AG11</f>
        <v/>
      </c>
      <c r="AH50">
        <f>$B$47*AH9+$C$47*AH10+$D$47*AH11</f>
        <v/>
      </c>
      <c r="AI50">
        <f>$B$47*AI9+$C$47*AI10+$D$47*AI11</f>
        <v/>
      </c>
      <c r="AJ50">
        <f>$B$47*AJ9+$C$47*AJ10+$D$47*AJ11</f>
        <v/>
      </c>
      <c r="AK50">
        <f>$B$47*AK9+$C$47*AK10+$D$47*AK11</f>
        <v/>
      </c>
      <c r="AL50">
        <f>$B$47*AL9+$C$47*AL10+$D$47*AL11</f>
        <v/>
      </c>
      <c r="AM50">
        <f>$B$47*AM9+$C$47*AM10+$D$47*AM11</f>
        <v/>
      </c>
      <c r="AN50">
        <f>$B$47*AN9+$C$47*AN10+$D$47*AN11</f>
        <v/>
      </c>
      <c r="AO50">
        <f>$B$47*AO9+$C$47*AO10+$D$47*AO11</f>
        <v/>
      </c>
      <c r="AP50">
        <f>$B$47*AP9+$C$47*AP10+$D$47*AP11</f>
        <v/>
      </c>
    </row>
    <row r="52">
      <c r="B52" t="inlineStr">
        <is>
          <t>S11</t>
        </is>
      </c>
      <c r="C52" t="inlineStr">
        <is>
          <t>S12</t>
        </is>
      </c>
      <c r="D52" t="inlineStr">
        <is>
          <t>S22</t>
        </is>
      </c>
      <c r="E52" t="inlineStr">
        <is>
          <t>Sp1</t>
        </is>
      </c>
      <c r="F52" t="inlineStr">
        <is>
          <t>Sp2</t>
        </is>
      </c>
      <c r="G52" t="inlineStr">
        <is>
          <t>St1</t>
        </is>
      </c>
      <c r="H52" t="inlineStr">
        <is>
          <t>St2</t>
        </is>
      </c>
    </row>
    <row r="53">
      <c r="B53">
        <f>SUMPRODUCT($C$49:$AP$49,$C$49:$AP$49)</f>
        <v/>
      </c>
      <c r="C53">
        <f>SUMPRODUCT($C$49:$AP$49,$C$50:$AP$50)</f>
        <v/>
      </c>
      <c r="D53">
        <f>SUMPRODUCT($C$50:$AP$50,$C$50:$AP$50)</f>
        <v/>
      </c>
      <c r="E53">
        <f>SUMPRODUCT(Base!$C$87:$AP$87,$C$49:$AP$49)</f>
        <v/>
      </c>
      <c r="F53">
        <f>SUMPRODUCT(Base!$C$87:$AP$87,$C$50:$AP$50)</f>
        <v/>
      </c>
      <c r="G53">
        <f>SUMPRODUCT(Base!$C$88:$AP$88,$C$49:$AP$49)</f>
        <v/>
      </c>
      <c r="H53">
        <f>SUMPRODUCT(Base!$C$88:$AP$88,$C$50:$AP$50)</f>
        <v/>
      </c>
    </row>
    <row r="55">
      <c r="A55" t="inlineStr">
        <is>
          <t>det</t>
        </is>
      </c>
      <c r="B55">
        <f>$B$53*$D$53-$C$53^2</f>
        <v/>
      </c>
    </row>
    <row r="56">
      <c r="A56" t="inlineStr">
        <is>
          <t>F (2 x 2)</t>
        </is>
      </c>
      <c r="B56">
        <f>($E$53*$D$53-$F$53*$C$53)/$B$55</f>
        <v/>
      </c>
      <c r="C56">
        <f>(-$E$53*$C$53+$F$53*$B$53)/$B$55</f>
        <v/>
      </c>
    </row>
    <row r="57">
      <c r="B57">
        <f>($G$53*$D$53-$H$53*$C$53)/$B$55</f>
        <v/>
      </c>
      <c r="C57">
        <f>(-$G$53*$C$53+$H$53*$B$53)/$B$55</f>
        <v/>
      </c>
    </row>
    <row r="59">
      <c r="A59" s="3" t="inlineStr">
        <is>
          <t>Result: A, XYZ to Wpt</t>
        </is>
      </c>
      <c r="B59">
        <f>$B$45</f>
        <v/>
      </c>
      <c r="C59">
        <f>$C$45</f>
        <v/>
      </c>
      <c r="D59">
        <f>$D$45</f>
        <v/>
      </c>
      <c r="F59" t="inlineStr">
        <is>
          <t>det A</t>
        </is>
      </c>
      <c r="G59">
        <f>($B$59*($C$60*$D$61-$D$60*$C$61)-$C$59*($B$60*$D$61-$D$60*$B$61)+$D$59*($B$60*$C$61-$C$60*$B$61))</f>
        <v/>
      </c>
    </row>
    <row r="60">
      <c r="B60">
        <f>$B$56*$B$46+$C$56*$B$47</f>
        <v/>
      </c>
      <c r="C60">
        <f>$B$56*$C$46+$C$56*$C$47</f>
        <v/>
      </c>
      <c r="D60">
        <f>$B$56*$D$46+$C$56*$D$47</f>
        <v/>
      </c>
    </row>
    <row r="61">
      <c r="B61">
        <f>$B$57*$B$46+$C$57*$B$47</f>
        <v/>
      </c>
      <c r="C61">
        <f>$B$57*$C$46+$C$57*$C$47</f>
        <v/>
      </c>
      <c r="D61">
        <f>$B$57*$D$46+$C$57*$D$47</f>
        <v/>
      </c>
    </row>
    <row r="62"/>
    <row r="63">
      <c r="A63" s="3" t="inlineStr">
        <is>
          <t>Inverse: Wpt to XYZ</t>
        </is>
      </c>
      <c r="B63">
        <f>($C$60*$D$61-$D$60*$C$61)/$G$59</f>
        <v/>
      </c>
      <c r="C63">
        <f>($C$61*$D$59-$D$61*$C$59)/$G$59</f>
        <v/>
      </c>
      <c r="D63">
        <f>($C$59*$D$60-$D$59*$C$60)/$G$59</f>
        <v/>
      </c>
    </row>
    <row r="64">
      <c r="B64">
        <f>($D$60*$B$61-$B$60*$D$61)/$G$59</f>
        <v/>
      </c>
      <c r="C64">
        <f>($D$61*$B$59-$B$61*$D$59)/$G$59</f>
        <v/>
      </c>
      <c r="D64">
        <f>($D$59*$B$60-$B$59*$D$60)/$G$59</f>
        <v/>
      </c>
    </row>
    <row r="65">
      <c r="B65">
        <f>($B$60*$C$61-$C$60*$B$61)/$G$59</f>
        <v/>
      </c>
      <c r="C65">
        <f>($B$61*$C$59-$C$61*$B$59)/$G$59</f>
        <v/>
      </c>
      <c r="D65">
        <f>($B$59*$C$60-$C$59*$B$60)/$G$59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6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Wpt normalization: destination condition</t>
        </is>
      </c>
    </row>
    <row r="3">
      <c r="A3" t="inlineStr">
        <is>
          <t>k (white Y = 100)</t>
        </is>
      </c>
      <c r="B3">
        <f>100/SUMPRODUCT(CHOOSE(MATCH(Inputs!$H$4,{"CIE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</row>
    <row r="6">
      <c r="A6" t="inlineStr">
        <is>
          <t>White XYZ</t>
        </is>
      </c>
      <c r="B6">
        <f>$B$3*SUMPRODUCT(CHOOSE(MATCH(Inputs!$H$4,{"CIE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C6">
        <f>$B$3*SUMPRODUCT(CHOOSE(MATCH(Inputs!$H$4,{"CIE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D6">
        <f>$B$3*SUMPRODUCT(CHOOSE(MATCH(Inputs!$H$4,{"CIE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</row>
    <row r="8">
      <c r="A8" t="inlineStr">
        <is>
          <t>Base samples: XYZ (rows 9-11)</t>
        </is>
      </c>
      <c r="C8">
        <f>Base!C4</f>
        <v/>
      </c>
      <c r="D8">
        <f>Base!D4</f>
        <v/>
      </c>
      <c r="E8">
        <f>Base!E4</f>
        <v/>
      </c>
      <c r="F8">
        <f>Base!F4</f>
        <v/>
      </c>
      <c r="G8">
        <f>Base!G4</f>
        <v/>
      </c>
      <c r="H8">
        <f>Base!H4</f>
        <v/>
      </c>
      <c r="I8">
        <f>Base!I4</f>
        <v/>
      </c>
      <c r="J8">
        <f>Base!J4</f>
        <v/>
      </c>
      <c r="K8">
        <f>Base!K4</f>
        <v/>
      </c>
      <c r="L8">
        <f>Base!L4</f>
        <v/>
      </c>
      <c r="M8">
        <f>Base!M4</f>
        <v/>
      </c>
      <c r="N8">
        <f>Base!N4</f>
        <v/>
      </c>
      <c r="O8">
        <f>Base!O4</f>
        <v/>
      </c>
      <c r="P8">
        <f>Base!P4</f>
        <v/>
      </c>
      <c r="Q8">
        <f>Base!Q4</f>
        <v/>
      </c>
      <c r="R8">
        <f>Base!R4</f>
        <v/>
      </c>
      <c r="S8">
        <f>Base!S4</f>
        <v/>
      </c>
      <c r="T8">
        <f>Base!T4</f>
        <v/>
      </c>
      <c r="U8">
        <f>Base!U4</f>
        <v/>
      </c>
      <c r="V8">
        <f>Base!V4</f>
        <v/>
      </c>
      <c r="W8">
        <f>Base!W4</f>
        <v/>
      </c>
      <c r="X8">
        <f>Base!X4</f>
        <v/>
      </c>
      <c r="Y8">
        <f>Base!Y4</f>
        <v/>
      </c>
      <c r="Z8">
        <f>Base!Z4</f>
        <v/>
      </c>
      <c r="AA8">
        <f>Base!AA4</f>
        <v/>
      </c>
      <c r="AB8">
        <f>Base!AB4</f>
        <v/>
      </c>
      <c r="AC8">
        <f>Base!AC4</f>
        <v/>
      </c>
      <c r="AD8">
        <f>Base!AD4</f>
        <v/>
      </c>
      <c r="AE8">
        <f>Base!AE4</f>
        <v/>
      </c>
      <c r="AF8">
        <f>Base!AF4</f>
        <v/>
      </c>
      <c r="AG8">
        <f>Base!AG4</f>
        <v/>
      </c>
      <c r="AH8">
        <f>Base!AH4</f>
        <v/>
      </c>
      <c r="AI8">
        <f>Base!AI4</f>
        <v/>
      </c>
      <c r="AJ8">
        <f>Base!AJ4</f>
        <v/>
      </c>
      <c r="AK8">
        <f>Base!AK4</f>
        <v/>
      </c>
      <c r="AL8">
        <f>Base!AL4</f>
        <v/>
      </c>
      <c r="AM8">
        <f>Base!AM4</f>
        <v/>
      </c>
      <c r="AN8">
        <f>Base!AN4</f>
        <v/>
      </c>
      <c r="AO8">
        <f>Base!AO4</f>
        <v/>
      </c>
      <c r="AP8">
        <f>Base!AP4</f>
        <v/>
      </c>
    </row>
    <row r="9">
      <c r="C9">
        <f>$B$3*SUMPRODUCT(Base!$C$5:$C$85,CHOOSE(MATCH(Inputs!$H$4,{"CIE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D9">
        <f>$B$3*SUMPRODUCT(Base!$D$5:$D$85,CHOOSE(MATCH(Inputs!$H$4,{"CIE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E9">
        <f>$B$3*SUMPRODUCT(Base!$E$5:$E$85,CHOOSE(MATCH(Inputs!$H$4,{"CIE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F9">
        <f>$B$3*SUMPRODUCT(Base!$F$5:$F$85,CHOOSE(MATCH(Inputs!$H$4,{"CIE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G9">
        <f>$B$3*SUMPRODUCT(Base!$G$5:$G$85,CHOOSE(MATCH(Inputs!$H$4,{"CIE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H9">
        <f>$B$3*SUMPRODUCT(Base!$H$5:$H$85,CHOOSE(MATCH(Inputs!$H$4,{"CIE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I9">
        <f>$B$3*SUMPRODUCT(Base!$I$5:$I$85,CHOOSE(MATCH(Inputs!$H$4,{"CIE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J9">
        <f>$B$3*SUMPRODUCT(Base!$J$5:$J$85,CHOOSE(MATCH(Inputs!$H$4,{"CIE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K9">
        <f>$B$3*SUMPRODUCT(Base!$K$5:$K$85,CHOOSE(MATCH(Inputs!$H$4,{"CIE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L9">
        <f>$B$3*SUMPRODUCT(Base!$L$5:$L$85,CHOOSE(MATCH(Inputs!$H$4,{"CIE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M9">
        <f>$B$3*SUMPRODUCT(Base!$M$5:$M$85,CHOOSE(MATCH(Inputs!$H$4,{"CIE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N9">
        <f>$B$3*SUMPRODUCT(Base!$N$5:$N$85,CHOOSE(MATCH(Inputs!$H$4,{"CIE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O9">
        <f>$B$3*SUMPRODUCT(Base!$O$5:$O$85,CHOOSE(MATCH(Inputs!$H$4,{"CIE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P9">
        <f>$B$3*SUMPRODUCT(Base!$P$5:$P$85,CHOOSE(MATCH(Inputs!$H$4,{"CIE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Q9">
        <f>$B$3*SUMPRODUCT(Base!$Q$5:$Q$85,CHOOSE(MATCH(Inputs!$H$4,{"CIE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R9">
        <f>$B$3*SUMPRODUCT(Base!$R$5:$R$85,CHOOSE(MATCH(Inputs!$H$4,{"CIE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S9">
        <f>$B$3*SUMPRODUCT(Base!$S$5:$S$85,CHOOSE(MATCH(Inputs!$H$4,{"CIE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T9">
        <f>$B$3*SUMPRODUCT(Base!$T$5:$T$85,CHOOSE(MATCH(Inputs!$H$4,{"CIE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U9">
        <f>$B$3*SUMPRODUCT(Base!$U$5:$U$85,CHOOSE(MATCH(Inputs!$H$4,{"CIE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V9">
        <f>$B$3*SUMPRODUCT(Base!$V$5:$V$85,CHOOSE(MATCH(Inputs!$H$4,{"CIE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W9">
        <f>$B$3*SUMPRODUCT(Base!$W$5:$W$85,CHOOSE(MATCH(Inputs!$H$4,{"CIE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X9">
        <f>$B$3*SUMPRODUCT(Base!$X$5:$X$85,CHOOSE(MATCH(Inputs!$H$4,{"CIE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Y9">
        <f>$B$3*SUMPRODUCT(Base!$Y$5:$Y$85,CHOOSE(MATCH(Inputs!$H$4,{"CIE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Z9">
        <f>$B$3*SUMPRODUCT(Base!$Z$5:$Z$85,CHOOSE(MATCH(Inputs!$H$4,{"CIE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A9">
        <f>$B$3*SUMPRODUCT(Base!$AA$5:$AA$85,CHOOSE(MATCH(Inputs!$H$4,{"CIE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B9">
        <f>$B$3*SUMPRODUCT(Base!$AB$5:$AB$85,CHOOSE(MATCH(Inputs!$H$4,{"CIE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C9">
        <f>$B$3*SUMPRODUCT(Base!$AC$5:$AC$85,CHOOSE(MATCH(Inputs!$H$4,{"CIE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D9">
        <f>$B$3*SUMPRODUCT(Base!$AD$5:$AD$85,CHOOSE(MATCH(Inputs!$H$4,{"CIE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E9">
        <f>$B$3*SUMPRODUCT(Base!$AE$5:$AE$85,CHOOSE(MATCH(Inputs!$H$4,{"CIE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F9">
        <f>$B$3*SUMPRODUCT(Base!$AF$5:$AF$85,CHOOSE(MATCH(Inputs!$H$4,{"CIE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G9">
        <f>$B$3*SUMPRODUCT(Base!$AG$5:$AG$85,CHOOSE(MATCH(Inputs!$H$4,{"CIE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H9">
        <f>$B$3*SUMPRODUCT(Base!$AH$5:$AH$85,CHOOSE(MATCH(Inputs!$H$4,{"CIE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I9">
        <f>$B$3*SUMPRODUCT(Base!$AI$5:$AI$85,CHOOSE(MATCH(Inputs!$H$4,{"CIE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J9">
        <f>$B$3*SUMPRODUCT(Base!$AJ$5:$AJ$85,CHOOSE(MATCH(Inputs!$H$4,{"CIE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K9">
        <f>$B$3*SUMPRODUCT(Base!$AK$5:$AK$85,CHOOSE(MATCH(Inputs!$H$4,{"CIE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L9">
        <f>$B$3*SUMPRODUCT(Base!$AL$5:$AL$85,CHOOSE(MATCH(Inputs!$H$4,{"CIE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M9">
        <f>$B$3*SUMPRODUCT(Base!$AM$5:$AM$85,CHOOSE(MATCH(Inputs!$H$4,{"CIE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N9">
        <f>$B$3*SUMPRODUCT(Base!$AN$5:$AN$85,CHOOSE(MATCH(Inputs!$H$4,{"CIE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O9">
        <f>$B$3*SUMPRODUCT(Base!$AO$5:$AO$85,CHOOSE(MATCH(Inputs!$H$4,{"CIE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  <c r="AP9">
        <f>$B$3*SUMPRODUCT(Base!$AP$5:$AP$85,CHOOSE(MATCH(Inputs!$H$4,{"CIE 1931 2deg","CIE 1964 10deg","CIE 2015 2deg","Pasted below"},0),Tables!$B$5:$B$85,Tables!$E$5:$E$85,Tables!$H$5:$H$85,Inputs!$H$9:$H$89),CHOOSE(MATCH(Inputs!$H$5,{"A","C","D50","D65","E","F2","F11","Pasted below"},0),Tables!$K$5:$K$85,Tables!$L$5:$L$85,Tables!$M$5:$M$85,Tables!$N$5:$N$85,Tables!$O$5:$O$85,Tables!$P$5:$P$85,Tables!$Q$5:$Q$85,Inputs!$K$9:$K$89))</f>
        <v/>
      </c>
    </row>
    <row r="10">
      <c r="C10">
        <f>$B$3*SUMPRODUCT(Base!$C$5:$C$85,CHOOSE(MATCH(Inputs!$H$4,{"CIE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D10">
        <f>$B$3*SUMPRODUCT(Base!$D$5:$D$85,CHOOSE(MATCH(Inputs!$H$4,{"CIE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E10">
        <f>$B$3*SUMPRODUCT(Base!$E$5:$E$85,CHOOSE(MATCH(Inputs!$H$4,{"CIE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F10">
        <f>$B$3*SUMPRODUCT(Base!$F$5:$F$85,CHOOSE(MATCH(Inputs!$H$4,{"CIE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G10">
        <f>$B$3*SUMPRODUCT(Base!$G$5:$G$85,CHOOSE(MATCH(Inputs!$H$4,{"CIE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H10">
        <f>$B$3*SUMPRODUCT(Base!$H$5:$H$85,CHOOSE(MATCH(Inputs!$H$4,{"CIE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I10">
        <f>$B$3*SUMPRODUCT(Base!$I$5:$I$85,CHOOSE(MATCH(Inputs!$H$4,{"CIE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J10">
        <f>$B$3*SUMPRODUCT(Base!$J$5:$J$85,CHOOSE(MATCH(Inputs!$H$4,{"CIE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K10">
        <f>$B$3*SUMPRODUCT(Base!$K$5:$K$85,CHOOSE(MATCH(Inputs!$H$4,{"CIE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L10">
        <f>$B$3*SUMPRODUCT(Base!$L$5:$L$85,CHOOSE(MATCH(Inputs!$H$4,{"CIE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M10">
        <f>$B$3*SUMPRODUCT(Base!$M$5:$M$85,CHOOSE(MATCH(Inputs!$H$4,{"CIE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N10">
        <f>$B$3*SUMPRODUCT(Base!$N$5:$N$85,CHOOSE(MATCH(Inputs!$H$4,{"CIE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O10">
        <f>$B$3*SUMPRODUCT(Base!$O$5:$O$85,CHOOSE(MATCH(Inputs!$H$4,{"CIE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P10">
        <f>$B$3*SUMPRODUCT(Base!$P$5:$P$85,CHOOSE(MATCH(Inputs!$H$4,{"CIE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Q10">
        <f>$B$3*SUMPRODUCT(Base!$Q$5:$Q$85,CHOOSE(MATCH(Inputs!$H$4,{"CIE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R10">
        <f>$B$3*SUMPRODUCT(Base!$R$5:$R$85,CHOOSE(MATCH(Inputs!$H$4,{"CIE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S10">
        <f>$B$3*SUMPRODUCT(Base!$S$5:$S$85,CHOOSE(MATCH(Inputs!$H$4,{"CIE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T10">
        <f>$B$3*SUMPRODUCT(Base!$T$5:$T$85,CHOOSE(MATCH(Inputs!$H$4,{"CIE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U10">
        <f>$B$3*SUMPRODUCT(Base!$U$5:$U$85,CHOOSE(MATCH(Inputs!$H$4,{"CIE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V10">
        <f>$B$3*SUMPRODUCT(Base!$V$5:$V$85,CHOOSE(MATCH(Inputs!$H$4,{"CIE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W10">
        <f>$B$3*SUMPRODUCT(Base!$W$5:$W$85,CHOOSE(MATCH(Inputs!$H$4,{"CIE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X10">
        <f>$B$3*SUMPRODUCT(Base!$X$5:$X$85,CHOOSE(MATCH(Inputs!$H$4,{"CIE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Y10">
        <f>$B$3*SUMPRODUCT(Base!$Y$5:$Y$85,CHOOSE(MATCH(Inputs!$H$4,{"CIE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Z10">
        <f>$B$3*SUMPRODUCT(Base!$Z$5:$Z$85,CHOOSE(MATCH(Inputs!$H$4,{"CIE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A10">
        <f>$B$3*SUMPRODUCT(Base!$AA$5:$AA$85,CHOOSE(MATCH(Inputs!$H$4,{"CIE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B10">
        <f>$B$3*SUMPRODUCT(Base!$AB$5:$AB$85,CHOOSE(MATCH(Inputs!$H$4,{"CIE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C10">
        <f>$B$3*SUMPRODUCT(Base!$AC$5:$AC$85,CHOOSE(MATCH(Inputs!$H$4,{"CIE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D10">
        <f>$B$3*SUMPRODUCT(Base!$AD$5:$AD$85,CHOOSE(MATCH(Inputs!$H$4,{"CIE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E10">
        <f>$B$3*SUMPRODUCT(Base!$AE$5:$AE$85,CHOOSE(MATCH(Inputs!$H$4,{"CIE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F10">
        <f>$B$3*SUMPRODUCT(Base!$AF$5:$AF$85,CHOOSE(MATCH(Inputs!$H$4,{"CIE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G10">
        <f>$B$3*SUMPRODUCT(Base!$AG$5:$AG$85,CHOOSE(MATCH(Inputs!$H$4,{"CIE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H10">
        <f>$B$3*SUMPRODUCT(Base!$AH$5:$AH$85,CHOOSE(MATCH(Inputs!$H$4,{"CIE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I10">
        <f>$B$3*SUMPRODUCT(Base!$AI$5:$AI$85,CHOOSE(MATCH(Inputs!$H$4,{"CIE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J10">
        <f>$B$3*SUMPRODUCT(Base!$AJ$5:$AJ$85,CHOOSE(MATCH(Inputs!$H$4,{"CIE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K10">
        <f>$B$3*SUMPRODUCT(Base!$AK$5:$AK$85,CHOOSE(MATCH(Inputs!$H$4,{"CIE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L10">
        <f>$B$3*SUMPRODUCT(Base!$AL$5:$AL$85,CHOOSE(MATCH(Inputs!$H$4,{"CIE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M10">
        <f>$B$3*SUMPRODUCT(Base!$AM$5:$AM$85,CHOOSE(MATCH(Inputs!$H$4,{"CIE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N10">
        <f>$B$3*SUMPRODUCT(Base!$AN$5:$AN$85,CHOOSE(MATCH(Inputs!$H$4,{"CIE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O10">
        <f>$B$3*SUMPRODUCT(Base!$AO$5:$AO$85,CHOOSE(MATCH(Inputs!$H$4,{"CIE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  <c r="AP10">
        <f>$B$3*SUMPRODUCT(Base!$AP$5:$AP$85,CHOOSE(MATCH(Inputs!$H$4,{"CIE 1931 2deg","CIE 1964 10deg","CIE 2015 2deg","Pasted below"},0),Tables!$C$5:$C$85,Tables!$F$5:$F$85,Tables!$I$5:$I$85,Inputs!$I$9:$I$89),CHOOSE(MATCH(Inputs!$H$5,{"A","C","D50","D65","E","F2","F11","Pasted below"},0),Tables!$K$5:$K$85,Tables!$L$5:$L$85,Tables!$M$5:$M$85,Tables!$N$5:$N$85,Tables!$O$5:$O$85,Tables!$P$5:$P$85,Tables!$Q$5:$Q$85,Inputs!$K$9:$K$89))</f>
        <v/>
      </c>
    </row>
    <row r="11">
      <c r="C11">
        <f>$B$3*SUMPRODUCT(Base!$C$5:$C$85,CHOOSE(MATCH(Inputs!$H$4,{"CIE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D11">
        <f>$B$3*SUMPRODUCT(Base!$D$5:$D$85,CHOOSE(MATCH(Inputs!$H$4,{"CIE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E11">
        <f>$B$3*SUMPRODUCT(Base!$E$5:$E$85,CHOOSE(MATCH(Inputs!$H$4,{"CIE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F11">
        <f>$B$3*SUMPRODUCT(Base!$F$5:$F$85,CHOOSE(MATCH(Inputs!$H$4,{"CIE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G11">
        <f>$B$3*SUMPRODUCT(Base!$G$5:$G$85,CHOOSE(MATCH(Inputs!$H$4,{"CIE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H11">
        <f>$B$3*SUMPRODUCT(Base!$H$5:$H$85,CHOOSE(MATCH(Inputs!$H$4,{"CIE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I11">
        <f>$B$3*SUMPRODUCT(Base!$I$5:$I$85,CHOOSE(MATCH(Inputs!$H$4,{"CIE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J11">
        <f>$B$3*SUMPRODUCT(Base!$J$5:$J$85,CHOOSE(MATCH(Inputs!$H$4,{"CIE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K11">
        <f>$B$3*SUMPRODUCT(Base!$K$5:$K$85,CHOOSE(MATCH(Inputs!$H$4,{"CIE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L11">
        <f>$B$3*SUMPRODUCT(Base!$L$5:$L$85,CHOOSE(MATCH(Inputs!$H$4,{"CIE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M11">
        <f>$B$3*SUMPRODUCT(Base!$M$5:$M$85,CHOOSE(MATCH(Inputs!$H$4,{"CIE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N11">
        <f>$B$3*SUMPRODUCT(Base!$N$5:$N$85,CHOOSE(MATCH(Inputs!$H$4,{"CIE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O11">
        <f>$B$3*SUMPRODUCT(Base!$O$5:$O$85,CHOOSE(MATCH(Inputs!$H$4,{"CIE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P11">
        <f>$B$3*SUMPRODUCT(Base!$P$5:$P$85,CHOOSE(MATCH(Inputs!$H$4,{"CIE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Q11">
        <f>$B$3*SUMPRODUCT(Base!$Q$5:$Q$85,CHOOSE(MATCH(Inputs!$H$4,{"CIE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R11">
        <f>$B$3*SUMPRODUCT(Base!$R$5:$R$85,CHOOSE(MATCH(Inputs!$H$4,{"CIE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S11">
        <f>$B$3*SUMPRODUCT(Base!$S$5:$S$85,CHOOSE(MATCH(Inputs!$H$4,{"CIE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T11">
        <f>$B$3*SUMPRODUCT(Base!$T$5:$T$85,CHOOSE(MATCH(Inputs!$H$4,{"CIE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U11">
        <f>$B$3*SUMPRODUCT(Base!$U$5:$U$85,CHOOSE(MATCH(Inputs!$H$4,{"CIE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V11">
        <f>$B$3*SUMPRODUCT(Base!$V$5:$V$85,CHOOSE(MATCH(Inputs!$H$4,{"CIE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W11">
        <f>$B$3*SUMPRODUCT(Base!$W$5:$W$85,CHOOSE(MATCH(Inputs!$H$4,{"CIE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X11">
        <f>$B$3*SUMPRODUCT(Base!$X$5:$X$85,CHOOSE(MATCH(Inputs!$H$4,{"CIE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Y11">
        <f>$B$3*SUMPRODUCT(Base!$Y$5:$Y$85,CHOOSE(MATCH(Inputs!$H$4,{"CIE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Z11">
        <f>$B$3*SUMPRODUCT(Base!$Z$5:$Z$85,CHOOSE(MATCH(Inputs!$H$4,{"CIE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A11">
        <f>$B$3*SUMPRODUCT(Base!$AA$5:$AA$85,CHOOSE(MATCH(Inputs!$H$4,{"CIE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B11">
        <f>$B$3*SUMPRODUCT(Base!$AB$5:$AB$85,CHOOSE(MATCH(Inputs!$H$4,{"CIE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C11">
        <f>$B$3*SUMPRODUCT(Base!$AC$5:$AC$85,CHOOSE(MATCH(Inputs!$H$4,{"CIE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D11">
        <f>$B$3*SUMPRODUCT(Base!$AD$5:$AD$85,CHOOSE(MATCH(Inputs!$H$4,{"CIE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E11">
        <f>$B$3*SUMPRODUCT(Base!$AE$5:$AE$85,CHOOSE(MATCH(Inputs!$H$4,{"CIE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F11">
        <f>$B$3*SUMPRODUCT(Base!$AF$5:$AF$85,CHOOSE(MATCH(Inputs!$H$4,{"CIE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G11">
        <f>$B$3*SUMPRODUCT(Base!$AG$5:$AG$85,CHOOSE(MATCH(Inputs!$H$4,{"CIE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H11">
        <f>$B$3*SUMPRODUCT(Base!$AH$5:$AH$85,CHOOSE(MATCH(Inputs!$H$4,{"CIE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I11">
        <f>$B$3*SUMPRODUCT(Base!$AI$5:$AI$85,CHOOSE(MATCH(Inputs!$H$4,{"CIE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J11">
        <f>$B$3*SUMPRODUCT(Base!$AJ$5:$AJ$85,CHOOSE(MATCH(Inputs!$H$4,{"CIE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K11">
        <f>$B$3*SUMPRODUCT(Base!$AK$5:$AK$85,CHOOSE(MATCH(Inputs!$H$4,{"CIE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L11">
        <f>$B$3*SUMPRODUCT(Base!$AL$5:$AL$85,CHOOSE(MATCH(Inputs!$H$4,{"CIE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M11">
        <f>$B$3*SUMPRODUCT(Base!$AM$5:$AM$85,CHOOSE(MATCH(Inputs!$H$4,{"CIE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N11">
        <f>$B$3*SUMPRODUCT(Base!$AN$5:$AN$85,CHOOSE(MATCH(Inputs!$H$4,{"CIE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O11">
        <f>$B$3*SUMPRODUCT(Base!$AO$5:$AO$85,CHOOSE(MATCH(Inputs!$H$4,{"CIE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  <c r="AP11">
        <f>$B$3*SUMPRODUCT(Base!$AP$5:$AP$85,CHOOSE(MATCH(Inputs!$H$4,{"CIE 1931 2deg","CIE 1964 10deg","CIE 2015 2deg","Pasted below"},0),Tables!$D$5:$D$85,Tables!$G$5:$G$85,Tables!$J$5:$J$85,Inputs!$J$9:$J$89),CHOOSE(MATCH(Inputs!$H$5,{"A","C","D50","D65","E","F2","F11","Pasted below"},0),Tables!$K$5:$K$85,Tables!$L$5:$L$85,Tables!$M$5:$M$85,Tables!$N$5:$N$85,Tables!$O$5:$O$85,Tables!$P$5:$P$85,Tables!$Q$5:$Q$85,Inputs!$K$9:$K$89))</f>
        <v/>
      </c>
    </row>
    <row r="13">
      <c r="A13" t="inlineStr">
        <is>
          <t>Step 1. Rotate white onto the first axis</t>
        </is>
      </c>
    </row>
    <row r="14">
      <c r="A14" t="inlineStr">
        <is>
          <t>phi3</t>
        </is>
      </c>
      <c r="B14">
        <f>-ATAN2($C$6,$D$6)</f>
        <v/>
      </c>
    </row>
    <row r="15">
      <c r="B15">
        <f>1</f>
        <v/>
      </c>
      <c r="C15">
        <f>0</f>
        <v/>
      </c>
      <c r="D15">
        <f>0</f>
        <v/>
      </c>
    </row>
    <row r="16">
      <c r="B16">
        <f>0</f>
        <v/>
      </c>
      <c r="C16">
        <f>COS($B$14)</f>
        <v/>
      </c>
      <c r="D16">
        <f>-SIN($B$14)</f>
        <v/>
      </c>
    </row>
    <row r="17">
      <c r="B17">
        <f>0</f>
        <v/>
      </c>
      <c r="C17">
        <f>SIN($B$14)</f>
        <v/>
      </c>
      <c r="D17">
        <f>COS($B$14)</f>
        <v/>
      </c>
    </row>
    <row r="19">
      <c r="A19" t="inlineStr">
        <is>
          <t>white after R3</t>
        </is>
      </c>
      <c r="B19">
        <f>$B$15*$B$6+$C$15*$C$6+$D$15*$D$6</f>
        <v/>
      </c>
      <c r="C19">
        <f>$B$16*$B$6+$C$16*$C$6+$D$16*$D$6</f>
        <v/>
      </c>
      <c r="D19">
        <f>$B$17*$B$6+$C$17*$C$6+$D$17*$D$6</f>
        <v/>
      </c>
    </row>
    <row r="20">
      <c r="A20" t="inlineStr">
        <is>
          <t>phi2</t>
        </is>
      </c>
      <c r="B20">
        <f>-ATAN2($B$19,$C$19)</f>
        <v/>
      </c>
    </row>
    <row r="21">
      <c r="B21">
        <f>COS($B$20)</f>
        <v/>
      </c>
      <c r="C21">
        <f>-SIN($B$20)</f>
        <v/>
      </c>
      <c r="D21">
        <f>0</f>
        <v/>
      </c>
    </row>
    <row r="22">
      <c r="B22">
        <f>SIN($B$20)</f>
        <v/>
      </c>
      <c r="C22">
        <f>COS($B$20)</f>
        <v/>
      </c>
      <c r="D22">
        <f>0</f>
        <v/>
      </c>
    </row>
    <row r="23">
      <c r="B23">
        <f>0</f>
        <v/>
      </c>
      <c r="C23">
        <f>0</f>
        <v/>
      </c>
      <c r="D23">
        <f>1</f>
        <v/>
      </c>
    </row>
    <row r="25">
      <c r="A25" t="inlineStr">
        <is>
          <t>R = R2 R3</t>
        </is>
      </c>
      <c r="B25">
        <f>$B$21*$B$15+$C$21*$B$16+$D$21*$B$17</f>
        <v/>
      </c>
      <c r="C25">
        <f>$B$21*$C$15+$C$21*$C$16+$D$21*$C$17</f>
        <v/>
      </c>
      <c r="D25">
        <f>$B$21*$D$15+$C$21*$D$16+$D$21*$D$17</f>
        <v/>
      </c>
    </row>
    <row r="26">
      <c r="B26">
        <f>$B$22*$B$15+$C$22*$B$16+$D$22*$B$17</f>
        <v/>
      </c>
      <c r="C26">
        <f>$B$22*$C$15+$C$22*$C$16+$D$22*$C$17</f>
        <v/>
      </c>
      <c r="D26">
        <f>$B$22*$D$15+$C$22*$D$16+$D$22*$D$17</f>
        <v/>
      </c>
    </row>
    <row r="27">
      <c r="B27">
        <f>$B$23*$B$15+$C$23*$B$16+$D$23*$B$17</f>
        <v/>
      </c>
      <c r="C27">
        <f>$B$23*$C$15+$C$23*$C$16+$D$23*$C$17</f>
        <v/>
      </c>
      <c r="D27">
        <f>$B$23*$D$15+$C$23*$D$16+$D$23*$D$17</f>
        <v/>
      </c>
    </row>
    <row r="29">
      <c r="A29" t="inlineStr">
        <is>
          <t>Step 2. White W</t>
        </is>
      </c>
      <c r="B29">
        <f>$B$25*$B$6+$C$25*$C$6+$D$25*$D$6</f>
        <v/>
      </c>
    </row>
    <row r="31">
      <c r="A31" t="inlineStr">
        <is>
          <t>M1</t>
        </is>
      </c>
      <c r="B31">
        <f>$B$25*100/$B$29</f>
        <v/>
      </c>
      <c r="C31">
        <f>$C$25*100/$B$29</f>
        <v/>
      </c>
      <c r="D31">
        <f>$D$25*100/$B$29</f>
        <v/>
      </c>
    </row>
    <row r="32">
      <c r="B32">
        <f>$B$26</f>
        <v/>
      </c>
      <c r="C32">
        <f>$C$26</f>
        <v/>
      </c>
      <c r="D32">
        <f>$D$26</f>
        <v/>
      </c>
    </row>
    <row r="33">
      <c r="B33">
        <f>$B$27</f>
        <v/>
      </c>
      <c r="C33">
        <f>$C$27</f>
        <v/>
      </c>
      <c r="D33">
        <f>$D$27</f>
        <v/>
      </c>
    </row>
    <row r="35">
      <c r="A35" t="inlineStr">
        <is>
          <t>Step 3. M1 times base XYZ (u, v, z in rows 35-37)</t>
        </is>
      </c>
      <c r="C35">
        <f>$B$31*C9+$C$31*C10+$D$31*C11</f>
        <v/>
      </c>
      <c r="D35">
        <f>$B$31*D9+$C$31*D10+$D$31*D11</f>
        <v/>
      </c>
      <c r="E35">
        <f>$B$31*E9+$C$31*E10+$D$31*E11</f>
        <v/>
      </c>
      <c r="F35">
        <f>$B$31*F9+$C$31*F10+$D$31*F11</f>
        <v/>
      </c>
      <c r="G35">
        <f>$B$31*G9+$C$31*G10+$D$31*G11</f>
        <v/>
      </c>
      <c r="H35">
        <f>$B$31*H9+$C$31*H10+$D$31*H11</f>
        <v/>
      </c>
      <c r="I35">
        <f>$B$31*I9+$C$31*I10+$D$31*I11</f>
        <v/>
      </c>
      <c r="J35">
        <f>$B$31*J9+$C$31*J10+$D$31*J11</f>
        <v/>
      </c>
      <c r="K35">
        <f>$B$31*K9+$C$31*K10+$D$31*K11</f>
        <v/>
      </c>
      <c r="L35">
        <f>$B$31*L9+$C$31*L10+$D$31*L11</f>
        <v/>
      </c>
      <c r="M35">
        <f>$B$31*M9+$C$31*M10+$D$31*M11</f>
        <v/>
      </c>
      <c r="N35">
        <f>$B$31*N9+$C$31*N10+$D$31*N11</f>
        <v/>
      </c>
      <c r="O35">
        <f>$B$31*O9+$C$31*O10+$D$31*O11</f>
        <v/>
      </c>
      <c r="P35">
        <f>$B$31*P9+$C$31*P10+$D$31*P11</f>
        <v/>
      </c>
      <c r="Q35">
        <f>$B$31*Q9+$C$31*Q10+$D$31*Q11</f>
        <v/>
      </c>
      <c r="R35">
        <f>$B$31*R9+$C$31*R10+$D$31*R11</f>
        <v/>
      </c>
      <c r="S35">
        <f>$B$31*S9+$C$31*S10+$D$31*S11</f>
        <v/>
      </c>
      <c r="T35">
        <f>$B$31*T9+$C$31*T10+$D$31*T11</f>
        <v/>
      </c>
      <c r="U35">
        <f>$B$31*U9+$C$31*U10+$D$31*U11</f>
        <v/>
      </c>
      <c r="V35">
        <f>$B$31*V9+$C$31*V10+$D$31*V11</f>
        <v/>
      </c>
      <c r="W35">
        <f>$B$31*W9+$C$31*W10+$D$31*W11</f>
        <v/>
      </c>
      <c r="X35">
        <f>$B$31*X9+$C$31*X10+$D$31*X11</f>
        <v/>
      </c>
      <c r="Y35">
        <f>$B$31*Y9+$C$31*Y10+$D$31*Y11</f>
        <v/>
      </c>
      <c r="Z35">
        <f>$B$31*Z9+$C$31*Z10+$D$31*Z11</f>
        <v/>
      </c>
      <c r="AA35">
        <f>$B$31*AA9+$C$31*AA10+$D$31*AA11</f>
        <v/>
      </c>
      <c r="AB35">
        <f>$B$31*AB9+$C$31*AB10+$D$31*AB11</f>
        <v/>
      </c>
      <c r="AC35">
        <f>$B$31*AC9+$C$31*AC10+$D$31*AC11</f>
        <v/>
      </c>
      <c r="AD35">
        <f>$B$31*AD9+$C$31*AD10+$D$31*AD11</f>
        <v/>
      </c>
      <c r="AE35">
        <f>$B$31*AE9+$C$31*AE10+$D$31*AE11</f>
        <v/>
      </c>
      <c r="AF35">
        <f>$B$31*AF9+$C$31*AF10+$D$31*AF11</f>
        <v/>
      </c>
      <c r="AG35">
        <f>$B$31*AG9+$C$31*AG10+$D$31*AG11</f>
        <v/>
      </c>
      <c r="AH35">
        <f>$B$31*AH9+$C$31*AH10+$D$31*AH11</f>
        <v/>
      </c>
      <c r="AI35">
        <f>$B$31*AI9+$C$31*AI10+$D$31*AI11</f>
        <v/>
      </c>
      <c r="AJ35">
        <f>$B$31*AJ9+$C$31*AJ10+$D$31*AJ11</f>
        <v/>
      </c>
      <c r="AK35">
        <f>$B$31*AK9+$C$31*AK10+$D$31*AK11</f>
        <v/>
      </c>
      <c r="AL35">
        <f>$B$31*AL9+$C$31*AL10+$D$31*AL11</f>
        <v/>
      </c>
      <c r="AM35">
        <f>$B$31*AM9+$C$31*AM10+$D$31*AM11</f>
        <v/>
      </c>
      <c r="AN35">
        <f>$B$31*AN9+$C$31*AN10+$D$31*AN11</f>
        <v/>
      </c>
      <c r="AO35">
        <f>$B$31*AO9+$C$31*AO10+$D$31*AO11</f>
        <v/>
      </c>
      <c r="AP35">
        <f>$B$31*AP9+$C$31*AP10+$D$31*AP11</f>
        <v/>
      </c>
    </row>
    <row r="36">
      <c r="C36">
        <f>$B$32*C9+$C$32*C10+$D$32*C11</f>
        <v/>
      </c>
      <c r="D36">
        <f>$B$32*D9+$C$32*D10+$D$32*D11</f>
        <v/>
      </c>
      <c r="E36">
        <f>$B$32*E9+$C$32*E10+$D$32*E11</f>
        <v/>
      </c>
      <c r="F36">
        <f>$B$32*F9+$C$32*F10+$D$32*F11</f>
        <v/>
      </c>
      <c r="G36">
        <f>$B$32*G9+$C$32*G10+$D$32*G11</f>
        <v/>
      </c>
      <c r="H36">
        <f>$B$32*H9+$C$32*H10+$D$32*H11</f>
        <v/>
      </c>
      <c r="I36">
        <f>$B$32*I9+$C$32*I10+$D$32*I11</f>
        <v/>
      </c>
      <c r="J36">
        <f>$B$32*J9+$C$32*J10+$D$32*J11</f>
        <v/>
      </c>
      <c r="K36">
        <f>$B$32*K9+$C$32*K10+$D$32*K11</f>
        <v/>
      </c>
      <c r="L36">
        <f>$B$32*L9+$C$32*L10+$D$32*L11</f>
        <v/>
      </c>
      <c r="M36">
        <f>$B$32*M9+$C$32*M10+$D$32*M11</f>
        <v/>
      </c>
      <c r="N36">
        <f>$B$32*N9+$C$32*N10+$D$32*N11</f>
        <v/>
      </c>
      <c r="O36">
        <f>$B$32*O9+$C$32*O10+$D$32*O11</f>
        <v/>
      </c>
      <c r="P36">
        <f>$B$32*P9+$C$32*P10+$D$32*P11</f>
        <v/>
      </c>
      <c r="Q36">
        <f>$B$32*Q9+$C$32*Q10+$D$32*Q11</f>
        <v/>
      </c>
      <c r="R36">
        <f>$B$32*R9+$C$32*R10+$D$32*R11</f>
        <v/>
      </c>
      <c r="S36">
        <f>$B$32*S9+$C$32*S10+$D$32*S11</f>
        <v/>
      </c>
      <c r="T36">
        <f>$B$32*T9+$C$32*T10+$D$32*T11</f>
        <v/>
      </c>
      <c r="U36">
        <f>$B$32*U9+$C$32*U10+$D$32*U11</f>
        <v/>
      </c>
      <c r="V36">
        <f>$B$32*V9+$C$32*V10+$D$32*V11</f>
        <v/>
      </c>
      <c r="W36">
        <f>$B$32*W9+$C$32*W10+$D$32*W11</f>
        <v/>
      </c>
      <c r="X36">
        <f>$B$32*X9+$C$32*X10+$D$32*X11</f>
        <v/>
      </c>
      <c r="Y36">
        <f>$B$32*Y9+$C$32*Y10+$D$32*Y11</f>
        <v/>
      </c>
      <c r="Z36">
        <f>$B$32*Z9+$C$32*Z10+$D$32*Z11</f>
        <v/>
      </c>
      <c r="AA36">
        <f>$B$32*AA9+$C$32*AA10+$D$32*AA11</f>
        <v/>
      </c>
      <c r="AB36">
        <f>$B$32*AB9+$C$32*AB10+$D$32*AB11</f>
        <v/>
      </c>
      <c r="AC36">
        <f>$B$32*AC9+$C$32*AC10+$D$32*AC11</f>
        <v/>
      </c>
      <c r="AD36">
        <f>$B$32*AD9+$C$32*AD10+$D$32*AD11</f>
        <v/>
      </c>
      <c r="AE36">
        <f>$B$32*AE9+$C$32*AE10+$D$32*AE11</f>
        <v/>
      </c>
      <c r="AF36">
        <f>$B$32*AF9+$C$32*AF10+$D$32*AF11</f>
        <v/>
      </c>
      <c r="AG36">
        <f>$B$32*AG9+$C$32*AG10+$D$32*AG11</f>
        <v/>
      </c>
      <c r="AH36">
        <f>$B$32*AH9+$C$32*AH10+$D$32*AH11</f>
        <v/>
      </c>
      <c r="AI36">
        <f>$B$32*AI9+$C$32*AI10+$D$32*AI11</f>
        <v/>
      </c>
      <c r="AJ36">
        <f>$B$32*AJ9+$C$32*AJ10+$D$32*AJ11</f>
        <v/>
      </c>
      <c r="AK36">
        <f>$B$32*AK9+$C$32*AK10+$D$32*AK11</f>
        <v/>
      </c>
      <c r="AL36">
        <f>$B$32*AL9+$C$32*AL10+$D$32*AL11</f>
        <v/>
      </c>
      <c r="AM36">
        <f>$B$32*AM9+$C$32*AM10+$D$32*AM11</f>
        <v/>
      </c>
      <c r="AN36">
        <f>$B$32*AN9+$C$32*AN10+$D$32*AN11</f>
        <v/>
      </c>
      <c r="AO36">
        <f>$B$32*AO9+$C$32*AO10+$D$32*AO11</f>
        <v/>
      </c>
      <c r="AP36">
        <f>$B$32*AP9+$C$32*AP10+$D$32*AP11</f>
        <v/>
      </c>
    </row>
    <row r="37">
      <c r="C37">
        <f>$B$33*C9+$C$33*C10+$D$33*C11</f>
        <v/>
      </c>
      <c r="D37">
        <f>$B$33*D9+$C$33*D10+$D$33*D11</f>
        <v/>
      </c>
      <c r="E37">
        <f>$B$33*E9+$C$33*E10+$D$33*E11</f>
        <v/>
      </c>
      <c r="F37">
        <f>$B$33*F9+$C$33*F10+$D$33*F11</f>
        <v/>
      </c>
      <c r="G37">
        <f>$B$33*G9+$C$33*G10+$D$33*G11</f>
        <v/>
      </c>
      <c r="H37">
        <f>$B$33*H9+$C$33*H10+$D$33*H11</f>
        <v/>
      </c>
      <c r="I37">
        <f>$B$33*I9+$C$33*I10+$D$33*I11</f>
        <v/>
      </c>
      <c r="J37">
        <f>$B$33*J9+$C$33*J10+$D$33*J11</f>
        <v/>
      </c>
      <c r="K37">
        <f>$B$33*K9+$C$33*K10+$D$33*K11</f>
        <v/>
      </c>
      <c r="L37">
        <f>$B$33*L9+$C$33*L10+$D$33*L11</f>
        <v/>
      </c>
      <c r="M37">
        <f>$B$33*M9+$C$33*M10+$D$33*M11</f>
        <v/>
      </c>
      <c r="N37">
        <f>$B$33*N9+$C$33*N10+$D$33*N11</f>
        <v/>
      </c>
      <c r="O37">
        <f>$B$33*O9+$C$33*O10+$D$33*O11</f>
        <v/>
      </c>
      <c r="P37">
        <f>$B$33*P9+$C$33*P10+$D$33*P11</f>
        <v/>
      </c>
      <c r="Q37">
        <f>$B$33*Q9+$C$33*Q10+$D$33*Q11</f>
        <v/>
      </c>
      <c r="R37">
        <f>$B$33*R9+$C$33*R10+$D$33*R11</f>
        <v/>
      </c>
      <c r="S37">
        <f>$B$33*S9+$C$33*S10+$D$33*S11</f>
        <v/>
      </c>
      <c r="T37">
        <f>$B$33*T9+$C$33*T10+$D$33*T11</f>
        <v/>
      </c>
      <c r="U37">
        <f>$B$33*U9+$C$33*U10+$D$33*U11</f>
        <v/>
      </c>
      <c r="V37">
        <f>$B$33*V9+$C$33*V10+$D$33*V11</f>
        <v/>
      </c>
      <c r="W37">
        <f>$B$33*W9+$C$33*W10+$D$33*W11</f>
        <v/>
      </c>
      <c r="X37">
        <f>$B$33*X9+$C$33*X10+$D$33*X11</f>
        <v/>
      </c>
      <c r="Y37">
        <f>$B$33*Y9+$C$33*Y10+$D$33*Y11</f>
        <v/>
      </c>
      <c r="Z37">
        <f>$B$33*Z9+$C$33*Z10+$D$33*Z11</f>
        <v/>
      </c>
      <c r="AA37">
        <f>$B$33*AA9+$C$33*AA10+$D$33*AA11</f>
        <v/>
      </c>
      <c r="AB37">
        <f>$B$33*AB9+$C$33*AB10+$D$33*AB11</f>
        <v/>
      </c>
      <c r="AC37">
        <f>$B$33*AC9+$C$33*AC10+$D$33*AC11</f>
        <v/>
      </c>
      <c r="AD37">
        <f>$B$33*AD9+$C$33*AD10+$D$33*AD11</f>
        <v/>
      </c>
      <c r="AE37">
        <f>$B$33*AE9+$C$33*AE10+$D$33*AE11</f>
        <v/>
      </c>
      <c r="AF37">
        <f>$B$33*AF9+$C$33*AF10+$D$33*AF11</f>
        <v/>
      </c>
      <c r="AG37">
        <f>$B$33*AG9+$C$33*AG10+$D$33*AG11</f>
        <v/>
      </c>
      <c r="AH37">
        <f>$B$33*AH9+$C$33*AH10+$D$33*AH11</f>
        <v/>
      </c>
      <c r="AI37">
        <f>$B$33*AI9+$C$33*AI10+$D$33*AI11</f>
        <v/>
      </c>
      <c r="AJ37">
        <f>$B$33*AJ9+$C$33*AJ10+$D$33*AJ11</f>
        <v/>
      </c>
      <c r="AK37">
        <f>$B$33*AK9+$C$33*AK10+$D$33*AK11</f>
        <v/>
      </c>
      <c r="AL37">
        <f>$B$33*AL9+$C$33*AL10+$D$33*AL11</f>
        <v/>
      </c>
      <c r="AM37">
        <f>$B$33*AM9+$C$33*AM10+$D$33*AM11</f>
        <v/>
      </c>
      <c r="AN37">
        <f>$B$33*AN9+$C$33*AN10+$D$33*AN11</f>
        <v/>
      </c>
      <c r="AO37">
        <f>$B$33*AO9+$C$33*AO10+$D$33*AO11</f>
        <v/>
      </c>
      <c r="AP37">
        <f>$B$33*AP9+$C$33*AP10+$D$33*AP11</f>
        <v/>
      </c>
    </row>
    <row r="39">
      <c r="B39" t="inlineStr">
        <is>
          <t>Svv</t>
        </is>
      </c>
      <c r="C39" t="inlineStr">
        <is>
          <t>Svz</t>
        </is>
      </c>
      <c r="D39" t="inlineStr">
        <is>
          <t>Sv</t>
        </is>
      </c>
      <c r="E39" t="inlineStr">
        <is>
          <t>Szz</t>
        </is>
      </c>
      <c r="F39" t="inlineStr">
        <is>
          <t>Sz</t>
        </is>
      </c>
      <c r="G39" t="inlineStr">
        <is>
          <t>n</t>
        </is>
      </c>
      <c r="H39" t="inlineStr">
        <is>
          <t>Suv</t>
        </is>
      </c>
      <c r="I39" t="inlineStr">
        <is>
          <t>Suz</t>
        </is>
      </c>
      <c r="J39" t="inlineStr">
        <is>
          <t>Su</t>
        </is>
      </c>
    </row>
    <row r="40">
      <c r="B40">
        <f>SUMPRODUCT($C$36:$AP$36,$C$36:$AP$36)</f>
        <v/>
      </c>
      <c r="C40">
        <f>SUMPRODUCT($C$36:$AP$36,$C$37:$AP$37)</f>
        <v/>
      </c>
      <c r="D40">
        <f>SUM($C$36:$AP$36)</f>
        <v/>
      </c>
      <c r="E40">
        <f>SUMPRODUCT($C$37:$AP$37,$C$37:$AP$37)</f>
        <v/>
      </c>
      <c r="F40">
        <f>SUM($C$37:$AP$37)</f>
        <v/>
      </c>
      <c r="G40">
        <f>COUNT($C$35:$AP$35)</f>
        <v/>
      </c>
      <c r="H40">
        <f>SUMPRODUCT($C$35:$AP$35,$C$36:$AP$36)</f>
        <v/>
      </c>
      <c r="I40">
        <f>SUMPRODUCT($C$35:$AP$35,$C$37:$AP$37)</f>
        <v/>
      </c>
      <c r="J40">
        <f>SUM($C$35:$AP$35)</f>
        <v/>
      </c>
    </row>
    <row r="42">
      <c r="A42" t="inlineStr">
        <is>
          <t>det</t>
        </is>
      </c>
      <c r="B42">
        <f>($B$40*($E$40*$G$40-$F$40*$F$40)-$C$40*($C$40*$G$40-$F$40*$D$40)+$D$40*($C$40*$F$40-$E$40*$D$40))</f>
        <v/>
      </c>
    </row>
    <row r="43">
      <c r="A43" t="inlineStr">
        <is>
          <t>alpha1, alpha2, alpha0</t>
        </is>
      </c>
      <c r="B43">
        <f>($H$40*($E$40*$G$40-$F$40*$F$40)-$C$40*($I$40*$G$40-$F$40*$J$40)+$D$40*($I$40*$F$40-$E$40*$J$40))/$B$42</f>
        <v/>
      </c>
      <c r="C43">
        <f>($B$40*($I$40*$G$40-$F$40*$J$40)-$H$40*($C$40*$G$40-$F$40*$D$40)+$D$40*($C$40*$J$40-$I$40*$D$40))/$B$42</f>
        <v/>
      </c>
      <c r="D43">
        <f>($B$40*($E$40*$J$40-$I$40*$F$40)-$C$40*($C$40*$J$40-$I$40*$D$40)+$H$40*($C$40*$F$40-$E$40*$D$40))/$B$42</f>
        <v/>
      </c>
    </row>
    <row r="45">
      <c r="A45" t="inlineStr">
        <is>
          <t>M2 (leveled)</t>
        </is>
      </c>
      <c r="B45">
        <f>$B$31-$B$43*$B$32-$C$43*$B$33</f>
        <v/>
      </c>
      <c r="C45">
        <f>$C$31-$B$43*$C$32-$C$43*$C$33</f>
        <v/>
      </c>
      <c r="D45">
        <f>$D$31-$B$43*$D$32-$C$43*$D$33</f>
        <v/>
      </c>
    </row>
    <row r="46">
      <c r="B46">
        <f>$B$32</f>
        <v/>
      </c>
      <c r="C46">
        <f>$C$32</f>
        <v/>
      </c>
      <c r="D46">
        <f>$D$32</f>
        <v/>
      </c>
    </row>
    <row r="47">
      <c r="B47">
        <f>$B$33</f>
        <v/>
      </c>
      <c r="C47">
        <f>$C$33</f>
        <v/>
      </c>
      <c r="D47">
        <f>$D$33</f>
        <v/>
      </c>
    </row>
    <row r="49">
      <c r="A49" t="inlineStr">
        <is>
          <t>Step 4. q = rows 2-3 of M2 times base XYZ (rows 49-50)</t>
        </is>
      </c>
      <c r="C49">
        <f>$B$46*C9+$C$46*C10+$D$46*C11</f>
        <v/>
      </c>
      <c r="D49">
        <f>$B$46*D9+$C$46*D10+$D$46*D11</f>
        <v/>
      </c>
      <c r="E49">
        <f>$B$46*E9+$C$46*E10+$D$46*E11</f>
        <v/>
      </c>
      <c r="F49">
        <f>$B$46*F9+$C$46*F10+$D$46*F11</f>
        <v/>
      </c>
      <c r="G49">
        <f>$B$46*G9+$C$46*G10+$D$46*G11</f>
        <v/>
      </c>
      <c r="H49">
        <f>$B$46*H9+$C$46*H10+$D$46*H11</f>
        <v/>
      </c>
      <c r="I49">
        <f>$B$46*I9+$C$46*I10+$D$46*I11</f>
        <v/>
      </c>
      <c r="J49">
        <f>$B$46*J9+$C$46*J10+$D$46*J11</f>
        <v/>
      </c>
      <c r="K49">
        <f>$B$46*K9+$C$46*K10+$D$46*K11</f>
        <v/>
      </c>
      <c r="L49">
        <f>$B$46*L9+$C$46*L10+$D$46*L11</f>
        <v/>
      </c>
      <c r="M49">
        <f>$B$46*M9+$C$46*M10+$D$46*M11</f>
        <v/>
      </c>
      <c r="N49">
        <f>$B$46*N9+$C$46*N10+$D$46*N11</f>
        <v/>
      </c>
      <c r="O49">
        <f>$B$46*O9+$C$46*O10+$D$46*O11</f>
        <v/>
      </c>
      <c r="P49">
        <f>$B$46*P9+$C$46*P10+$D$46*P11</f>
        <v/>
      </c>
      <c r="Q49">
        <f>$B$46*Q9+$C$46*Q10+$D$46*Q11</f>
        <v/>
      </c>
      <c r="R49">
        <f>$B$46*R9+$C$46*R10+$D$46*R11</f>
        <v/>
      </c>
      <c r="S49">
        <f>$B$46*S9+$C$46*S10+$D$46*S11</f>
        <v/>
      </c>
      <c r="T49">
        <f>$B$46*T9+$C$46*T10+$D$46*T11</f>
        <v/>
      </c>
      <c r="U49">
        <f>$B$46*U9+$C$46*U10+$D$46*U11</f>
        <v/>
      </c>
      <c r="V49">
        <f>$B$46*V9+$C$46*V10+$D$46*V11</f>
        <v/>
      </c>
      <c r="W49">
        <f>$B$46*W9+$C$46*W10+$D$46*W11</f>
        <v/>
      </c>
      <c r="X49">
        <f>$B$46*X9+$C$46*X10+$D$46*X11</f>
        <v/>
      </c>
      <c r="Y49">
        <f>$B$46*Y9+$C$46*Y10+$D$46*Y11</f>
        <v/>
      </c>
      <c r="Z49">
        <f>$B$46*Z9+$C$46*Z10+$D$46*Z11</f>
        <v/>
      </c>
      <c r="AA49">
        <f>$B$46*AA9+$C$46*AA10+$D$46*AA11</f>
        <v/>
      </c>
      <c r="AB49">
        <f>$B$46*AB9+$C$46*AB10+$D$46*AB11</f>
        <v/>
      </c>
      <c r="AC49">
        <f>$B$46*AC9+$C$46*AC10+$D$46*AC11</f>
        <v/>
      </c>
      <c r="AD49">
        <f>$B$46*AD9+$C$46*AD10+$D$46*AD11</f>
        <v/>
      </c>
      <c r="AE49">
        <f>$B$46*AE9+$C$46*AE10+$D$46*AE11</f>
        <v/>
      </c>
      <c r="AF49">
        <f>$B$46*AF9+$C$46*AF10+$D$46*AF11</f>
        <v/>
      </c>
      <c r="AG49">
        <f>$B$46*AG9+$C$46*AG10+$D$46*AG11</f>
        <v/>
      </c>
      <c r="AH49">
        <f>$B$46*AH9+$C$46*AH10+$D$46*AH11</f>
        <v/>
      </c>
      <c r="AI49">
        <f>$B$46*AI9+$C$46*AI10+$D$46*AI11</f>
        <v/>
      </c>
      <c r="AJ49">
        <f>$B$46*AJ9+$C$46*AJ10+$D$46*AJ11</f>
        <v/>
      </c>
      <c r="AK49">
        <f>$B$46*AK9+$C$46*AK10+$D$46*AK11</f>
        <v/>
      </c>
      <c r="AL49">
        <f>$B$46*AL9+$C$46*AL10+$D$46*AL11</f>
        <v/>
      </c>
      <c r="AM49">
        <f>$B$46*AM9+$C$46*AM10+$D$46*AM11</f>
        <v/>
      </c>
      <c r="AN49">
        <f>$B$46*AN9+$C$46*AN10+$D$46*AN11</f>
        <v/>
      </c>
      <c r="AO49">
        <f>$B$46*AO9+$C$46*AO10+$D$46*AO11</f>
        <v/>
      </c>
      <c r="AP49">
        <f>$B$46*AP9+$C$46*AP10+$D$46*AP11</f>
        <v/>
      </c>
    </row>
    <row r="50">
      <c r="C50">
        <f>$B$47*C9+$C$47*C10+$D$47*C11</f>
        <v/>
      </c>
      <c r="D50">
        <f>$B$47*D9+$C$47*D10+$D$47*D11</f>
        <v/>
      </c>
      <c r="E50">
        <f>$B$47*E9+$C$47*E10+$D$47*E11</f>
        <v/>
      </c>
      <c r="F50">
        <f>$B$47*F9+$C$47*F10+$D$47*F11</f>
        <v/>
      </c>
      <c r="G50">
        <f>$B$47*G9+$C$47*G10+$D$47*G11</f>
        <v/>
      </c>
      <c r="H50">
        <f>$B$47*H9+$C$47*H10+$D$47*H11</f>
        <v/>
      </c>
      <c r="I50">
        <f>$B$47*I9+$C$47*I10+$D$47*I11</f>
        <v/>
      </c>
      <c r="J50">
        <f>$B$47*J9+$C$47*J10+$D$47*J11</f>
        <v/>
      </c>
      <c r="K50">
        <f>$B$47*K9+$C$47*K10+$D$47*K11</f>
        <v/>
      </c>
      <c r="L50">
        <f>$B$47*L9+$C$47*L10+$D$47*L11</f>
        <v/>
      </c>
      <c r="M50">
        <f>$B$47*M9+$C$47*M10+$D$47*M11</f>
        <v/>
      </c>
      <c r="N50">
        <f>$B$47*N9+$C$47*N10+$D$47*N11</f>
        <v/>
      </c>
      <c r="O50">
        <f>$B$47*O9+$C$47*O10+$D$47*O11</f>
        <v/>
      </c>
      <c r="P50">
        <f>$B$47*P9+$C$47*P10+$D$47*P11</f>
        <v/>
      </c>
      <c r="Q50">
        <f>$B$47*Q9+$C$47*Q10+$D$47*Q11</f>
        <v/>
      </c>
      <c r="R50">
        <f>$B$47*R9+$C$47*R10+$D$47*R11</f>
        <v/>
      </c>
      <c r="S50">
        <f>$B$47*S9+$C$47*S10+$D$47*S11</f>
        <v/>
      </c>
      <c r="T50">
        <f>$B$47*T9+$C$47*T10+$D$47*T11</f>
        <v/>
      </c>
      <c r="U50">
        <f>$B$47*U9+$C$47*U10+$D$47*U11</f>
        <v/>
      </c>
      <c r="V50">
        <f>$B$47*V9+$C$47*V10+$D$47*V11</f>
        <v/>
      </c>
      <c r="W50">
        <f>$B$47*W9+$C$47*W10+$D$47*W11</f>
        <v/>
      </c>
      <c r="X50">
        <f>$B$47*X9+$C$47*X10+$D$47*X11</f>
        <v/>
      </c>
      <c r="Y50">
        <f>$B$47*Y9+$C$47*Y10+$D$47*Y11</f>
        <v/>
      </c>
      <c r="Z50">
        <f>$B$47*Z9+$C$47*Z10+$D$47*Z11</f>
        <v/>
      </c>
      <c r="AA50">
        <f>$B$47*AA9+$C$47*AA10+$D$47*AA11</f>
        <v/>
      </c>
      <c r="AB50">
        <f>$B$47*AB9+$C$47*AB10+$D$47*AB11</f>
        <v/>
      </c>
      <c r="AC50">
        <f>$B$47*AC9+$C$47*AC10+$D$47*AC11</f>
        <v/>
      </c>
      <c r="AD50">
        <f>$B$47*AD9+$C$47*AD10+$D$47*AD11</f>
        <v/>
      </c>
      <c r="AE50">
        <f>$B$47*AE9+$C$47*AE10+$D$47*AE11</f>
        <v/>
      </c>
      <c r="AF50">
        <f>$B$47*AF9+$C$47*AF10+$D$47*AF11</f>
        <v/>
      </c>
      <c r="AG50">
        <f>$B$47*AG9+$C$47*AG10+$D$47*AG11</f>
        <v/>
      </c>
      <c r="AH50">
        <f>$B$47*AH9+$C$47*AH10+$D$47*AH11</f>
        <v/>
      </c>
      <c r="AI50">
        <f>$B$47*AI9+$C$47*AI10+$D$47*AI11</f>
        <v/>
      </c>
      <c r="AJ50">
        <f>$B$47*AJ9+$C$47*AJ10+$D$47*AJ11</f>
        <v/>
      </c>
      <c r="AK50">
        <f>$B$47*AK9+$C$47*AK10+$D$47*AK11</f>
        <v/>
      </c>
      <c r="AL50">
        <f>$B$47*AL9+$C$47*AL10+$D$47*AL11</f>
        <v/>
      </c>
      <c r="AM50">
        <f>$B$47*AM9+$C$47*AM10+$D$47*AM11</f>
        <v/>
      </c>
      <c r="AN50">
        <f>$B$47*AN9+$C$47*AN10+$D$47*AN11</f>
        <v/>
      </c>
      <c r="AO50">
        <f>$B$47*AO9+$C$47*AO10+$D$47*AO11</f>
        <v/>
      </c>
      <c r="AP50">
        <f>$B$47*AP9+$C$47*AP10+$D$47*AP11</f>
        <v/>
      </c>
    </row>
    <row r="52">
      <c r="B52" t="inlineStr">
        <is>
          <t>S11</t>
        </is>
      </c>
      <c r="C52" t="inlineStr">
        <is>
          <t>S12</t>
        </is>
      </c>
      <c r="D52" t="inlineStr">
        <is>
          <t>S22</t>
        </is>
      </c>
      <c r="E52" t="inlineStr">
        <is>
          <t>Sp1</t>
        </is>
      </c>
      <c r="F52" t="inlineStr">
        <is>
          <t>Sp2</t>
        </is>
      </c>
      <c r="G52" t="inlineStr">
        <is>
          <t>St1</t>
        </is>
      </c>
      <c r="H52" t="inlineStr">
        <is>
          <t>St2</t>
        </is>
      </c>
    </row>
    <row r="53">
      <c r="B53">
        <f>SUMPRODUCT($C$49:$AP$49,$C$49:$AP$49)</f>
        <v/>
      </c>
      <c r="C53">
        <f>SUMPRODUCT($C$49:$AP$49,$C$50:$AP$50)</f>
        <v/>
      </c>
      <c r="D53">
        <f>SUMPRODUCT($C$50:$AP$50,$C$50:$AP$50)</f>
        <v/>
      </c>
      <c r="E53">
        <f>SUMPRODUCT(Base!$C$87:$AP$87,$C$49:$AP$49)</f>
        <v/>
      </c>
      <c r="F53">
        <f>SUMPRODUCT(Base!$C$87:$AP$87,$C$50:$AP$50)</f>
        <v/>
      </c>
      <c r="G53">
        <f>SUMPRODUCT(Base!$C$88:$AP$88,$C$49:$AP$49)</f>
        <v/>
      </c>
      <c r="H53">
        <f>SUMPRODUCT(Base!$C$88:$AP$88,$C$50:$AP$50)</f>
        <v/>
      </c>
    </row>
    <row r="55">
      <c r="A55" t="inlineStr">
        <is>
          <t>det</t>
        </is>
      </c>
      <c r="B55">
        <f>$B$53*$D$53-$C$53^2</f>
        <v/>
      </c>
    </row>
    <row r="56">
      <c r="A56" t="inlineStr">
        <is>
          <t>F (2 x 2)</t>
        </is>
      </c>
      <c r="B56">
        <f>($E$53*$D$53-$F$53*$C$53)/$B$55</f>
        <v/>
      </c>
      <c r="C56">
        <f>(-$E$53*$C$53+$F$53*$B$53)/$B$55</f>
        <v/>
      </c>
    </row>
    <row r="57">
      <c r="B57">
        <f>($G$53*$D$53-$H$53*$C$53)/$B$55</f>
        <v/>
      </c>
      <c r="C57">
        <f>(-$G$53*$C$53+$H$53*$B$53)/$B$55</f>
        <v/>
      </c>
    </row>
    <row r="59">
      <c r="A59" s="3" t="inlineStr">
        <is>
          <t>Result: A, XYZ to Wpt</t>
        </is>
      </c>
      <c r="B59">
        <f>$B$45</f>
        <v/>
      </c>
      <c r="C59">
        <f>$C$45</f>
        <v/>
      </c>
      <c r="D59">
        <f>$D$45</f>
        <v/>
      </c>
      <c r="F59" t="inlineStr">
        <is>
          <t>det A</t>
        </is>
      </c>
      <c r="G59">
        <f>($B$59*($C$60*$D$61-$D$60*$C$61)-$C$59*($B$60*$D$61-$D$60*$B$61)+$D$59*($B$60*$C$61-$C$60*$B$61))</f>
        <v/>
      </c>
    </row>
    <row r="60">
      <c r="B60">
        <f>$B$56*$B$46+$C$56*$B$47</f>
        <v/>
      </c>
      <c r="C60">
        <f>$B$56*$C$46+$C$56*$C$47</f>
        <v/>
      </c>
      <c r="D60">
        <f>$B$56*$D$46+$C$56*$D$47</f>
        <v/>
      </c>
    </row>
    <row r="61">
      <c r="B61">
        <f>$B$57*$B$46+$C$57*$B$47</f>
        <v/>
      </c>
      <c r="C61">
        <f>$B$57*$C$46+$C$57*$C$47</f>
        <v/>
      </c>
      <c r="D61">
        <f>$B$57*$D$46+$C$57*$D$47</f>
        <v/>
      </c>
    </row>
    <row r="62"/>
    <row r="63">
      <c r="A63" s="3" t="inlineStr">
        <is>
          <t>Inverse: Wpt to XYZ</t>
        </is>
      </c>
      <c r="B63">
        <f>($C$60*$D$61-$D$60*$C$61)/$G$59</f>
        <v/>
      </c>
      <c r="C63">
        <f>($C$61*$D$59-$D$61*$C$59)/$G$59</f>
        <v/>
      </c>
      <c r="D63">
        <f>($C$59*$D$60-$D$59*$C$60)/$G$59</f>
        <v/>
      </c>
    </row>
    <row r="64">
      <c r="B64">
        <f>($D$60*$B$61-$B$60*$D$61)/$G$59</f>
        <v/>
      </c>
      <c r="C64">
        <f>($D$61*$B$59-$B$61*$D$59)/$G$59</f>
        <v/>
      </c>
      <c r="D64">
        <f>($D$59*$B$60-$B$59*$D$60)/$G$59</f>
        <v/>
      </c>
    </row>
    <row r="65">
      <c r="B65">
        <f>($B$60*$C$61-$C$60*$B$61)/$G$59</f>
        <v/>
      </c>
      <c r="C65">
        <f>($B$61*$C$59-$C$61*$B$59)/$G$59</f>
        <v/>
      </c>
      <c r="D65">
        <f>($B$59*$C$60-$C$59*$B$60)/$G$59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2026-10-22T00:28:38Z</dcterms:created>
  <dcterms:modified xsi:type="dcterms:W3CDTF">2026-10-22T00:28:38Z</dcterms:modified>
</cp:coreProperties>
</file>